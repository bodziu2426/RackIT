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RackIT\Wyniki\"/>
    </mc:Choice>
  </mc:AlternateContent>
  <xr:revisionPtr revIDLastSave="0" documentId="13_ncr:1_{D61C2A18-972E-481D-A748-EE651F92EEF8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" l="1"/>
  <c r="S9" i="3"/>
  <c r="S8" i="3"/>
  <c r="S12" i="1"/>
  <c r="S11" i="1"/>
  <c r="S10" i="1"/>
  <c r="S9" i="1"/>
  <c r="S8" i="1"/>
  <c r="S11" i="2"/>
  <c r="S10" i="2"/>
  <c r="S9" i="2"/>
  <c r="S8" i="2"/>
</calcChain>
</file>

<file path=xl/sharedStrings.xml><?xml version="1.0" encoding="utf-8"?>
<sst xmlns="http://schemas.openxmlformats.org/spreadsheetml/2006/main" count="310" uniqueCount="158">
  <si>
    <t>PUSH – Klatka · Barki · Triceps</t>
  </si>
  <si>
    <t>Progresja: gdy ostatnia seria (do upadku) przekracza górny pułap zakresu → następny trening dodaj 2,5 kg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</si>
  <si>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</si>
  <si>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</si>
  <si>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</si>
  <si>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</si>
  <si>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</si>
  <si>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</si>
  <si>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</si>
  <si>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</si>
  <si>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</si>
  <si>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</si>
  <si>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</si>
  <si>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</si>
  <si>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</si>
  <si>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</si>
  <si>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</si>
  <si>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</si>
  <si>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</si>
  <si>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</si>
  <si>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</si>
  <si>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</si>
  <si>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</si>
  <si>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</si>
  <si>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</si>
  <si>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</si>
  <si>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</si>
  <si>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</si>
  <si>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</si>
  <si>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</si>
  <si>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</si>
  <si>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</si>
  <si>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</si>
  <si>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</si>
  <si>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</si>
  <si>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</si>
  <si>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</si>
  <si>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</si>
  <si>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</si>
  <si>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</si>
  <si>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</si>
  <si>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</si>
  <si>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</si>
  <si>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</si>
  <si>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</si>
  <si>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</si>
  <si>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</t>
  </si>
  <si>
    <t>piramida – każda seria ciężej</t>
  </si>
  <si>
    <t>Wyciskanie hantlami – skośna +30°</t>
  </si>
  <si>
    <t>8–10</t>
  </si>
  <si>
    <t>2 × 24 kg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</si>
  <si>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</si>
  <si>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</si>
  <si>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</si>
  <si>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</si>
  <si>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</si>
  <si>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</si>
  <si>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</si>
  <si>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</si>
  <si>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</si>
  <si>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</si>
  <si>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</si>
  <si>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</si>
  <si>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</si>
  <si>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</si>
  <si>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</si>
  <si>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</si>
  <si>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</si>
  <si>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</si>
  <si>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</si>
  <si>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tułów pionowo, łokcie blisko ciała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</si>
  <si>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</si>
  <si>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</si>
  <si>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</si>
  <si>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</si>
  <si>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</si>
  <si>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</si>
  <si>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</si>
  <si>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</si>
  <si>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</si>
  <si>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</si>
  <si>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</si>
  <si>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</si>
  <si>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</si>
  <si>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</si>
  <si>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</si>
  <si>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</si>
  <si>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</si>
  <si>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</si>
  <si>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</si>
  <si>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</si>
  <si>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</si>
  <si>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</si>
  <si>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</si>
  <si>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</si>
  <si>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</si>
  <si>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</si>
  <si>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</si>
  <si>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</si>
  <si>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</si>
  <si>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</si>
  <si>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</si>
  <si>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</si>
  <si>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</si>
  <si>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</si>
  <si>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</si>
  <si>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</si>
  <si>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</si>
  <si>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</si>
  <si>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Uginanie hantlami stojąc</t>
  </si>
  <si>
    <t>10–12</t>
  </si>
  <si>
    <t>supinacja w górze, biceps zmęczony drążkiem</t>
  </si>
  <si>
    <t>NOGI – Uda · Pośladki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</si>
  <si>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</si>
  <si>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</si>
  <si>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</si>
  <si>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</si>
  <si>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</si>
  <si>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</si>
  <si>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</si>
  <si>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</si>
  <si>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</si>
  <si>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</si>
  <si>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</si>
  <si>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</si>
  <si>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</si>
  <si>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</si>
  <si>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</si>
  <si>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</si>
  <si>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</si>
  <si>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</si>
  <si>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</si>
  <si>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</si>
  <si>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</si>
  <si>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</si>
  <si>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</si>
  <si>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</si>
  <si>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</si>
  <si>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</si>
  <si>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</si>
  <si>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</si>
  <si>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</si>
  <si>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</si>
  <si>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</si>
  <si>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</si>
  <si>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</si>
  <si>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</si>
  <si>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</si>
  <si>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</si>
  <si>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</si>
  <si>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</si>
  <si>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</si>
  <si>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</si>
  <si>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</si>
  <si>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Wiosłowanie sztangą</t>
  </si>
  <si>
    <t xml:space="preserve"> 8-10</t>
  </si>
  <si>
    <t>2 x 10</t>
  </si>
  <si>
    <t>2 x 12,5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</si>
</sst>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Calibri"/>
    </font>
    <font>
      <b/>
      <sz val="13"/>
      <color rgb="FFFFFFFF"/>
      <name val="Arial"/>
    </font>
    <font>
      <sz val="11"/>
      <color rgb="FF000000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  <charset val="238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i/>
      <sz val="9"/>
      <color rgb="FFBF360C"/>
      <name val="Arial"/>
    </font>
    <font>
      <i/>
      <sz val="9"/>
      <color rgb="FF1B5E20"/>
      <name val="Arial"/>
    </font>
    <font>
      <b/>
      <sz val="10"/>
      <color rgb="FF1B5E20"/>
      <name val="Arial"/>
    </font>
    <font>
      <sz val="9"/>
      <color rgb="FFBF360C"/>
      <name val="Arial"/>
    </font>
    <font>
      <b/>
      <sz val="9"/>
      <color rgb="FF1B4020"/>
      <name val="Arial"/>
    </font>
    <font>
      <i/>
      <sz val="9"/>
      <color rgb="FFE65100"/>
      <name val="Arial"/>
    </font>
    <font>
      <b/>
      <sz val="10"/>
      <color rgb="FFE65100"/>
      <name val="Arial"/>
    </font>
    <font>
      <b/>
      <sz val="9"/>
      <color rgb="FFBF360C"/>
      <name val="Arial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/>
    <xf numFmtId="0" fontId="22" fillId="14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/>
    <xf numFmtId="0" fontId="22" fillId="9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/>
    <xf numFmtId="0" fontId="28" fillId="20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/>
    <xf numFmtId="0" fontId="31" fillId="25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/>
    <xf numFmtId="0" fontId="23" fillId="9" borderId="1" xfId="0" applyFont="1" applyFill="1" applyBorder="1" applyAlignment="1">
      <alignment horizontal="left" vertical="center"/>
    </xf>
    <xf numFmtId="0" fontId="23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/>
    <xf numFmtId="0" fontId="1" fillId="16" borderId="0" xfId="0" applyFont="1" applyFill="1" applyAlignment="1">
      <alignment horizontal="center" vertical="center"/>
    </xf>
    <xf numFmtId="0" fontId="2" fillId="0" borderId="0" xfId="0" applyFont="1" applyAlignment="1"/>
    <xf numFmtId="0" fontId="6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/>
    <xf numFmtId="0" fontId="25" fillId="17" borderId="0" xfId="0" applyFont="1" applyFill="1" applyAlignment="1">
      <alignment horizontal="left" vertical="center"/>
    </xf>
    <xf numFmtId="0" fontId="21" fillId="20" borderId="1" xfId="0" applyFont="1" applyFill="1" applyBorder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/>
    <xf numFmtId="0" fontId="21" fillId="14" borderId="1" xfId="0" applyFont="1" applyFill="1" applyBorder="1" applyAlignment="1">
      <alignment horizontal="left" vertical="center"/>
    </xf>
    <xf numFmtId="0" fontId="4" fillId="24" borderId="0" xfId="0" applyFont="1" applyFill="1" applyAlignment="1">
      <alignment horizontal="left" vertical="center"/>
    </xf>
    <xf numFmtId="0" fontId="21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/>
    <xf numFmtId="0" fontId="23" fillId="25" borderId="1" xfId="0" applyFont="1" applyFill="1" applyBorder="1" applyAlignment="1">
      <alignment horizontal="left" vertical="center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1" fillId="21" borderId="0" xfId="0" applyFont="1" applyFill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/>
    <xf numFmtId="0" fontId="29" fillId="22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selection activeCell="E12" sqref="E12"/>
    </sheetView>
  </sheetViews>
  <sheetFormatPr defaultColWidth="10" defaultRowHeight="15" x14ac:dyDescent="0.25"/>
  <cols>
    <col min="1" max="1" width="15.5703125" bestFit="1" customWidth="1"/>
    <col min="2" max="2" width="33.85546875" bestFit="1" customWidth="1"/>
    <col min="3" max="3" width="5.85546875" bestFit="1" customWidth="1"/>
    <col min="4" max="4" width="6.7109375" bestFit="1" customWidth="1"/>
    <col min="5" max="5" width="22.140625" bestFit="1" customWidth="1"/>
    <col min="6" max="6" width="13.85546875" bestFit="1" customWidth="1"/>
    <col min="7" max="7" width="6.140625" bestFit="1" customWidth="1"/>
    <col min="8" max="8" width="5.5703125" bestFit="1" customWidth="1"/>
    <col min="9" max="9" width="20" customWidth="1"/>
    <col min="10" max="10" width="6.140625" bestFit="1" customWidth="1"/>
    <col min="11" max="11" width="5.5703125" bestFit="1" customWidth="1"/>
    <col min="12" max="12" width="20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7.85546875" bestFit="1" customWidth="1"/>
    <col min="19" max="19" width="15.7109375" bestFit="1" customWidth="1"/>
    <col min="20" max="20" width="28.140625" bestFit="1" customWidth="1"/>
  </cols>
  <sheetData>
    <row r="1" spans="1:20" ht="27.95" customHeight="1" x14ac:dyDescent="0.25">
      <c r="A1" s="78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ht="18" customHeight="1" x14ac:dyDescent="0.25">
      <c r="A2" s="81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82" t="s">
        <v>24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</row>
    <row r="6" spans="1:20" ht="15.95" customHeight="1" x14ac:dyDescent="0.25">
      <c r="A6" s="1"/>
      <c r="B6" s="1"/>
      <c r="C6" s="1"/>
      <c r="D6" s="1"/>
      <c r="E6" s="1"/>
      <c r="F6" s="1"/>
      <c r="G6" s="79" t="s">
        <v>25</v>
      </c>
      <c r="H6" s="80"/>
      <c r="I6" s="80"/>
      <c r="J6" s="79" t="s">
        <v>26</v>
      </c>
      <c r="K6" s="80"/>
      <c r="L6" s="80"/>
      <c r="M6" s="79" t="s">
        <v>27</v>
      </c>
      <c r="N6" s="80"/>
      <c r="O6" s="80"/>
      <c r="P6" s="79" t="s">
        <v>28</v>
      </c>
      <c r="Q6" s="80"/>
      <c r="R6" s="80"/>
      <c r="S6" s="1"/>
      <c r="T6" s="1"/>
    </row>
    <row r="7" spans="1:20" ht="38.1" customHeight="1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35</v>
      </c>
      <c r="K7" s="2" t="s">
        <v>36</v>
      </c>
      <c r="L7" s="2" t="s">
        <v>37</v>
      </c>
      <c r="M7" s="2" t="s">
        <v>35</v>
      </c>
      <c r="N7" s="2" t="s">
        <v>36</v>
      </c>
      <c r="O7" s="2" t="s">
        <v>37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</row>
    <row r="8" spans="1:20" ht="36" customHeight="1" x14ac:dyDescent="0.25">
      <c r="A8" s="3">
        <v>1</v>
      </c>
      <c r="B8" s="4" t="s">
        <v>40</v>
      </c>
      <c r="C8" s="5">
        <v>4</v>
      </c>
      <c r="D8" s="5" t="s">
        <v>41</v>
      </c>
      <c r="E8" s="6">
        <v>60</v>
      </c>
      <c r="F8" s="7" t="s">
        <v>42</v>
      </c>
      <c r="G8" s="5"/>
      <c r="H8" s="5"/>
      <c r="I8" s="8" t="s">
        <v>43</v>
      </c>
      <c r="J8" s="5"/>
      <c r="K8" s="5"/>
      <c r="L8" s="9" t="s">
        <v>44</v>
      </c>
      <c r="M8" s="5"/>
      <c r="N8" s="5"/>
      <c r="O8" s="10" t="s">
        <v>45</v>
      </c>
      <c r="P8" s="5"/>
      <c r="Q8" s="5"/>
      <c r="R8" s="11" t="s">
        <v>46</v>
      </c>
      <c r="S8" s="5" t="str">
        <f>IF(Q8="","–",IF(ISNUMBER(Q8),IF(Q8&gt;8,"✓ TAK – dodaj 2,5 kg","✗ NIE – zostań z ciężarem"),"–"))</f>
        <v>–</v>
      </c>
      <c r="T8" s="12" t="s">
        <v>47</v>
      </c>
    </row>
    <row r="9" spans="1:20" ht="36" customHeight="1" x14ac:dyDescent="0.25">
      <c r="A9" s="13">
        <v>2</v>
      </c>
      <c r="B9" s="14" t="s">
        <v>48</v>
      </c>
      <c r="C9" s="15">
        <v>3</v>
      </c>
      <c r="D9" s="15" t="s">
        <v>49</v>
      </c>
      <c r="E9" s="16" t="s">
        <v>50</v>
      </c>
      <c r="F9" s="7" t="s">
        <v>42</v>
      </c>
      <c r="G9" s="15"/>
      <c r="H9" s="15"/>
      <c r="I9" s="9" t="s">
        <v>51</v>
      </c>
      <c r="J9" s="15"/>
      <c r="K9" s="15"/>
      <c r="L9" s="10" t="s">
        <v>52</v>
      </c>
      <c r="M9" s="15"/>
      <c r="N9" s="15"/>
      <c r="O9" s="11" t="s">
        <v>46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53</v>
      </c>
    </row>
    <row r="10" spans="1:20" ht="36" customHeight="1" x14ac:dyDescent="0.25">
      <c r="A10" s="3">
        <v>3</v>
      </c>
      <c r="B10" s="4" t="s">
        <v>54</v>
      </c>
      <c r="C10" s="5">
        <v>4</v>
      </c>
      <c r="D10" s="5" t="s">
        <v>55</v>
      </c>
      <c r="E10" s="6" t="s">
        <v>56</v>
      </c>
      <c r="F10" s="7" t="s">
        <v>42</v>
      </c>
      <c r="G10" s="5"/>
      <c r="H10" s="5"/>
      <c r="I10" s="8" t="s">
        <v>57</v>
      </c>
      <c r="J10" s="5"/>
      <c r="K10" s="5"/>
      <c r="L10" s="9" t="s">
        <v>58</v>
      </c>
      <c r="M10" s="5"/>
      <c r="N10" s="5"/>
      <c r="O10" s="10" t="s">
        <v>52</v>
      </c>
      <c r="P10" s="5"/>
      <c r="Q10" s="5"/>
      <c r="R10" s="11" t="s">
        <v>46</v>
      </c>
      <c r="S10" s="5" t="str">
        <f>IF(Q10="","–",IF(ISNUMBER(Q10),IF(Q10&gt;10,"✓ TAK – dodaj 2,5 kg","✗ NIE – zostań z ciężarem"),"–"))</f>
        <v>–</v>
      </c>
      <c r="T10" s="19"/>
    </row>
    <row r="11" spans="1:20" ht="36" customHeight="1" x14ac:dyDescent="0.25">
      <c r="A11" s="13">
        <v>4</v>
      </c>
      <c r="B11" s="14" t="s">
        <v>59</v>
      </c>
      <c r="C11" s="15">
        <v>3</v>
      </c>
      <c r="D11" s="15" t="s">
        <v>60</v>
      </c>
      <c r="E11" s="16" t="s">
        <v>61</v>
      </c>
      <c r="F11" s="7" t="s">
        <v>42</v>
      </c>
      <c r="G11" s="15"/>
      <c r="H11" s="15"/>
      <c r="I11" s="9" t="s">
        <v>62</v>
      </c>
      <c r="J11" s="15"/>
      <c r="K11" s="15"/>
      <c r="L11" s="10" t="s">
        <v>63</v>
      </c>
      <c r="M11" s="15"/>
      <c r="N11" s="15"/>
      <c r="O11" s="11" t="s">
        <v>46</v>
      </c>
      <c r="P11" s="17"/>
      <c r="Q11" s="17"/>
      <c r="R11" s="17"/>
      <c r="S11" s="15" t="str">
        <f>IF(N11="","–",IF(ISNUMBER(N11),IF(N11&gt;15,"✓ TAK – dodaj 2,5 kg","✗ NIE – zostań z ciężarem"),"–"))</f>
        <v>–</v>
      </c>
      <c r="T11" s="18" t="s">
        <v>64</v>
      </c>
    </row>
    <row r="12" spans="1:20" ht="36" customHeight="1" x14ac:dyDescent="0.25">
      <c r="A12" s="3">
        <v>5</v>
      </c>
      <c r="B12" s="4" t="s">
        <v>65</v>
      </c>
      <c r="C12" s="5">
        <v>4</v>
      </c>
      <c r="D12" s="5" t="s">
        <v>66</v>
      </c>
      <c r="E12" s="6" t="s">
        <v>67</v>
      </c>
      <c r="F12" s="7" t="s">
        <v>42</v>
      </c>
      <c r="G12" s="5"/>
      <c r="H12" s="5"/>
      <c r="I12" s="8" t="s">
        <v>68</v>
      </c>
      <c r="J12" s="5"/>
      <c r="K12" s="5"/>
      <c r="L12" s="9" t="s">
        <v>51</v>
      </c>
      <c r="M12" s="5"/>
      <c r="N12" s="5"/>
      <c r="O12" s="10" t="s">
        <v>69</v>
      </c>
      <c r="P12" s="5"/>
      <c r="Q12" s="5"/>
      <c r="R12" s="11" t="s">
        <v>46</v>
      </c>
      <c r="S12" s="5" t="str">
        <f>IF(Q12="","–",IF(ISNUMBER(Q12),IF(Q12&gt;12,"✓ TAK – dodaj 2,5 kg","✗ NIE – zostań z ciężarem"),"–"))</f>
        <v>–</v>
      </c>
      <c r="T12" s="12" t="s">
        <v>70</v>
      </c>
    </row>
    <row r="13" spans="1:20" ht="15.95" customHeight="1" x14ac:dyDescent="0.25">
      <c r="A13" s="72" t="s">
        <v>71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</row>
    <row r="15" spans="1:20" ht="21.95" customHeight="1" x14ac:dyDescent="0.25">
      <c r="A15" s="77" t="s">
        <v>2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pans="1:20" ht="27.95" customHeight="1" x14ac:dyDescent="0.25">
      <c r="A16" s="20" t="s">
        <v>3</v>
      </c>
      <c r="B16" s="83" t="s">
        <v>4</v>
      </c>
      <c r="C16" s="84"/>
      <c r="D16" s="84"/>
      <c r="E16" s="84"/>
      <c r="F16" s="20" t="s">
        <v>5</v>
      </c>
      <c r="G16" s="83" t="s">
        <v>6</v>
      </c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21"/>
    </row>
    <row r="17" spans="1:20" ht="24" customHeight="1" x14ac:dyDescent="0.25">
      <c r="A17" s="22" t="s">
        <v>7</v>
      </c>
      <c r="B17" s="87" t="s">
        <v>8</v>
      </c>
      <c r="C17" s="86"/>
      <c r="D17" s="86"/>
      <c r="E17" s="86"/>
      <c r="F17" s="24" t="s">
        <v>9</v>
      </c>
      <c r="G17" s="85" t="s">
        <v>10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23"/>
    </row>
    <row r="18" spans="1:20" ht="24" customHeight="1" x14ac:dyDescent="0.25">
      <c r="A18" s="25" t="s">
        <v>7</v>
      </c>
      <c r="B18" s="60" t="s">
        <v>11</v>
      </c>
      <c r="C18" s="61"/>
      <c r="D18" s="61"/>
      <c r="E18" s="61"/>
      <c r="F18" s="27" t="s">
        <v>12</v>
      </c>
      <c r="G18" s="62" t="s">
        <v>13</v>
      </c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26"/>
    </row>
    <row r="19" spans="1:20" ht="24" customHeight="1" x14ac:dyDescent="0.25">
      <c r="A19" s="22" t="s">
        <v>14</v>
      </c>
      <c r="B19" s="87" t="s">
        <v>15</v>
      </c>
      <c r="C19" s="86"/>
      <c r="D19" s="86"/>
      <c r="E19" s="86"/>
      <c r="F19" s="24" t="s">
        <v>16</v>
      </c>
      <c r="G19" s="85" t="s">
        <v>17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23"/>
    </row>
    <row r="20" spans="1:20" ht="24" customHeight="1" x14ac:dyDescent="0.25">
      <c r="A20" s="25" t="s">
        <v>14</v>
      </c>
      <c r="B20" s="60" t="s">
        <v>18</v>
      </c>
      <c r="C20" s="61"/>
      <c r="D20" s="61"/>
      <c r="E20" s="61"/>
      <c r="F20" s="27" t="s">
        <v>16</v>
      </c>
      <c r="G20" s="62" t="s">
        <v>19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26"/>
    </row>
    <row r="21" spans="1:20" ht="24" customHeight="1" x14ac:dyDescent="0.25">
      <c r="A21" s="22" t="s">
        <v>20</v>
      </c>
      <c r="B21" s="87" t="s">
        <v>21</v>
      </c>
      <c r="C21" s="86"/>
      <c r="D21" s="86"/>
      <c r="E21" s="86"/>
      <c r="F21" s="24" t="s">
        <v>16</v>
      </c>
      <c r="G21" s="85" t="s">
        <v>22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23"/>
    </row>
    <row r="22" spans="1:20" ht="18" customHeight="1" x14ac:dyDescent="0.25">
      <c r="A22" s="75" t="s">
        <v>23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</sheetData>
  <mergeCells count="22">
    <mergeCell ref="A22:T22"/>
    <mergeCell ref="G16:S16"/>
    <mergeCell ref="G19:S19"/>
    <mergeCell ref="G18:S18"/>
    <mergeCell ref="B19:E19"/>
    <mergeCell ref="G17:S17"/>
    <mergeCell ref="B16:E16"/>
    <mergeCell ref="G21:S21"/>
    <mergeCell ref="B17:E17"/>
    <mergeCell ref="B20:E20"/>
    <mergeCell ref="B18:E18"/>
    <mergeCell ref="G20:S20"/>
    <mergeCell ref="B21:E21"/>
    <mergeCell ref="A15:T15"/>
    <mergeCell ref="A1:T1"/>
    <mergeCell ref="G6:I6"/>
    <mergeCell ref="M6:O6"/>
    <mergeCell ref="P6:R6"/>
    <mergeCell ref="A2:T2"/>
    <mergeCell ref="A5:T5"/>
    <mergeCell ref="J6:L6"/>
    <mergeCell ref="A13:T13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topLeftCell="A5" workbookViewId="0">
      <selection activeCell="A12" sqref="A12:T12"/>
    </sheetView>
  </sheetViews>
  <sheetFormatPr defaultColWidth="10" defaultRowHeight="15" x14ac:dyDescent="0.25"/>
  <cols>
    <col min="1" max="1" width="13.140625" bestFit="1" customWidth="1"/>
    <col min="2" max="2" width="24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8" bestFit="1" customWidth="1"/>
    <col min="19" max="19" width="15.7109375" bestFit="1" customWidth="1"/>
    <col min="20" max="20" width="22.7109375" bestFit="1" customWidth="1"/>
  </cols>
  <sheetData>
    <row r="1" spans="1:20" ht="27.95" customHeight="1" x14ac:dyDescent="0.25">
      <c r="A1" s="65" t="s">
        <v>72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ht="18" customHeight="1" x14ac:dyDescent="0.25">
      <c r="A2" s="69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76" t="s">
        <v>24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</row>
    <row r="6" spans="1:20" ht="15.95" customHeight="1" x14ac:dyDescent="0.25">
      <c r="A6" s="28"/>
      <c r="B6" s="28"/>
      <c r="C6" s="28"/>
      <c r="D6" s="28"/>
      <c r="E6" s="28"/>
      <c r="F6" s="28"/>
      <c r="G6" s="67" t="s">
        <v>25</v>
      </c>
      <c r="H6" s="68"/>
      <c r="I6" s="68"/>
      <c r="J6" s="67" t="s">
        <v>26</v>
      </c>
      <c r="K6" s="68"/>
      <c r="L6" s="68"/>
      <c r="M6" s="67" t="s">
        <v>27</v>
      </c>
      <c r="N6" s="68"/>
      <c r="O6" s="68"/>
      <c r="P6" s="67" t="s">
        <v>28</v>
      </c>
      <c r="Q6" s="68"/>
      <c r="R6" s="68"/>
      <c r="S6" s="28"/>
      <c r="T6" s="28"/>
    </row>
    <row r="7" spans="1:20" ht="38.1" customHeight="1" x14ac:dyDescent="0.25">
      <c r="A7" s="29" t="s">
        <v>29</v>
      </c>
      <c r="B7" s="29" t="s">
        <v>30</v>
      </c>
      <c r="C7" s="29" t="s">
        <v>31</v>
      </c>
      <c r="D7" s="29" t="s">
        <v>32</v>
      </c>
      <c r="E7" s="29" t="s">
        <v>33</v>
      </c>
      <c r="F7" s="29" t="s">
        <v>34</v>
      </c>
      <c r="G7" s="29" t="s">
        <v>35</v>
      </c>
      <c r="H7" s="29" t="s">
        <v>36</v>
      </c>
      <c r="I7" s="29" t="s">
        <v>37</v>
      </c>
      <c r="J7" s="29" t="s">
        <v>35</v>
      </c>
      <c r="K7" s="29" t="s">
        <v>36</v>
      </c>
      <c r="L7" s="29" t="s">
        <v>37</v>
      </c>
      <c r="M7" s="29" t="s">
        <v>35</v>
      </c>
      <c r="N7" s="29" t="s">
        <v>36</v>
      </c>
      <c r="O7" s="29" t="s">
        <v>37</v>
      </c>
      <c r="P7" s="29" t="s">
        <v>35</v>
      </c>
      <c r="Q7" s="29" t="s">
        <v>36</v>
      </c>
      <c r="R7" s="29" t="s">
        <v>37</v>
      </c>
      <c r="S7" s="29" t="s">
        <v>38</v>
      </c>
      <c r="T7" s="29" t="s">
        <v>39</v>
      </c>
    </row>
    <row r="8" spans="1:20" ht="36" customHeight="1" x14ac:dyDescent="0.25">
      <c r="A8" s="30">
        <v>1</v>
      </c>
      <c r="B8" s="31" t="s">
        <v>97</v>
      </c>
      <c r="C8" s="32">
        <v>4</v>
      </c>
      <c r="D8" s="32" t="s">
        <v>98</v>
      </c>
      <c r="E8" s="33">
        <v>92.5</v>
      </c>
      <c r="F8" s="34" t="s">
        <v>99</v>
      </c>
      <c r="G8" s="33">
        <v>95</v>
      </c>
      <c r="H8" s="32"/>
      <c r="I8" s="8" t="s">
        <v>100</v>
      </c>
      <c r="J8" s="32">
        <v>105</v>
      </c>
      <c r="K8" s="32"/>
      <c r="L8" s="9" t="s">
        <v>101</v>
      </c>
      <c r="M8" s="32">
        <v>115</v>
      </c>
      <c r="N8" s="32"/>
      <c r="O8" s="10" t="s">
        <v>102</v>
      </c>
      <c r="P8" s="32">
        <v>125</v>
      </c>
      <c r="Q8" s="32"/>
      <c r="R8" s="10" t="s">
        <v>103</v>
      </c>
      <c r="S8" s="32" t="str">
        <f>IF(Q8="","–",IF(ISNUMBER(Q8),IF(Q8&gt;6,"✓ TAK – dodaj 2,5 kg","✗ NIE – zostań z ciężarem"),"–"))</f>
        <v>–</v>
      </c>
      <c r="T8" s="35"/>
    </row>
    <row r="9" spans="1:20" ht="36" customHeight="1" x14ac:dyDescent="0.25">
      <c r="A9" s="36">
        <v>2</v>
      </c>
      <c r="B9" s="14" t="s">
        <v>104</v>
      </c>
      <c r="C9" s="15">
        <v>4</v>
      </c>
      <c r="D9" s="15" t="s">
        <v>41</v>
      </c>
      <c r="E9" s="16" t="s">
        <v>105</v>
      </c>
      <c r="F9" s="7" t="s">
        <v>42</v>
      </c>
      <c r="G9" s="16" t="s">
        <v>105</v>
      </c>
      <c r="H9" s="15"/>
      <c r="I9" s="9" t="s">
        <v>106</v>
      </c>
      <c r="J9" s="16" t="s">
        <v>105</v>
      </c>
      <c r="K9" s="15"/>
      <c r="L9" s="10" t="s">
        <v>107</v>
      </c>
      <c r="M9" s="16" t="s">
        <v>105</v>
      </c>
      <c r="N9" s="15"/>
      <c r="O9" s="10" t="s">
        <v>107</v>
      </c>
      <c r="P9" s="16" t="s">
        <v>105</v>
      </c>
      <c r="Q9" s="15"/>
      <c r="R9" s="11" t="s">
        <v>46</v>
      </c>
      <c r="S9" s="15" t="str">
        <f>IF(Q9="","–",IF(ISNUMBER(Q9),IF(Q9&gt;8,"✓ TAK – dodaj 2,5 kg","✗ NIE – zostań z ciężarem"),"–"))</f>
        <v>–</v>
      </c>
      <c r="T9" s="18" t="s">
        <v>108</v>
      </c>
    </row>
    <row r="10" spans="1:20" ht="36" customHeight="1" x14ac:dyDescent="0.25">
      <c r="A10" s="30">
        <v>3</v>
      </c>
      <c r="B10" s="31" t="s">
        <v>154</v>
      </c>
      <c r="C10" s="32">
        <v>4</v>
      </c>
      <c r="D10" s="32" t="s">
        <v>155</v>
      </c>
      <c r="E10" s="33">
        <v>50</v>
      </c>
      <c r="F10" s="7" t="s">
        <v>42</v>
      </c>
      <c r="G10" s="32">
        <v>50</v>
      </c>
      <c r="H10" s="32"/>
      <c r="I10" s="9" t="s">
        <v>51</v>
      </c>
      <c r="J10" s="32">
        <v>60</v>
      </c>
      <c r="K10" s="59"/>
      <c r="L10" s="10" t="s">
        <v>69</v>
      </c>
      <c r="M10" s="32">
        <v>65</v>
      </c>
      <c r="N10" s="32"/>
      <c r="O10" s="10" t="s">
        <v>102</v>
      </c>
      <c r="P10" s="32">
        <v>72.5</v>
      </c>
      <c r="Q10" s="32"/>
      <c r="R10" s="11" t="s">
        <v>46</v>
      </c>
      <c r="S10" s="32" t="str">
        <f>IF(Q10="","–",IF(ISNUMBER(Q10),IF(Q10&gt;6,"✓ TAK – dodaj 2,5 kg","✗ NIE – zostań z ciężarem"),"–"))</f>
        <v>–</v>
      </c>
      <c r="T10" s="35"/>
    </row>
    <row r="11" spans="1:20" ht="36" customHeight="1" x14ac:dyDescent="0.25">
      <c r="A11" s="36">
        <v>4</v>
      </c>
      <c r="B11" s="14" t="s">
        <v>109</v>
      </c>
      <c r="C11" s="15">
        <v>3</v>
      </c>
      <c r="D11" s="15" t="s">
        <v>110</v>
      </c>
      <c r="E11" s="16" t="s">
        <v>156</v>
      </c>
      <c r="F11" s="7" t="s">
        <v>42</v>
      </c>
      <c r="G11" s="16" t="s">
        <v>156</v>
      </c>
      <c r="H11" s="15"/>
      <c r="I11" s="9" t="s">
        <v>51</v>
      </c>
      <c r="J11" s="16" t="s">
        <v>157</v>
      </c>
      <c r="K11" s="15"/>
      <c r="L11" s="10" t="s">
        <v>69</v>
      </c>
      <c r="M11" s="16" t="s">
        <v>157</v>
      </c>
      <c r="N11" s="15"/>
      <c r="O11" s="11" t="s">
        <v>46</v>
      </c>
      <c r="P11" s="17"/>
      <c r="Q11" s="17"/>
      <c r="R11" s="17"/>
      <c r="S11" s="32" t="str">
        <f>IF(N11="","–",IF(ISNUMBER(N11),IF(N11&gt;12,"✓ TAK – dodaj 2,5 kg","✗ NIE – zostań z ciężarem"),"–"))</f>
        <v>–</v>
      </c>
      <c r="T11" s="37" t="s">
        <v>111</v>
      </c>
    </row>
    <row r="12" spans="1:20" ht="15.95" customHeight="1" x14ac:dyDescent="0.25">
      <c r="A12" s="72" t="s">
        <v>71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4" spans="1:20" ht="21.95" customHeight="1" x14ac:dyDescent="0.25">
      <c r="A14" s="71" t="s">
        <v>73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spans="1:20" ht="27.95" customHeight="1" x14ac:dyDescent="0.25">
      <c r="A15" s="38" t="s">
        <v>3</v>
      </c>
      <c r="B15" s="73" t="s">
        <v>4</v>
      </c>
      <c r="C15" s="74"/>
      <c r="D15" s="74"/>
      <c r="E15" s="74"/>
      <c r="F15" s="38" t="s">
        <v>5</v>
      </c>
      <c r="G15" s="73" t="s">
        <v>6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39"/>
    </row>
    <row r="16" spans="1:20" ht="24" customHeight="1" x14ac:dyDescent="0.25">
      <c r="A16" s="40" t="s">
        <v>7</v>
      </c>
      <c r="B16" s="70" t="s">
        <v>8</v>
      </c>
      <c r="C16" s="64"/>
      <c r="D16" s="64"/>
      <c r="E16" s="64"/>
      <c r="F16" s="42" t="s">
        <v>9</v>
      </c>
      <c r="G16" s="63" t="s">
        <v>74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41"/>
    </row>
    <row r="17" spans="1:20" ht="24" customHeight="1" x14ac:dyDescent="0.25">
      <c r="A17" s="25" t="s">
        <v>7</v>
      </c>
      <c r="B17" s="60" t="s">
        <v>75</v>
      </c>
      <c r="C17" s="61"/>
      <c r="D17" s="61"/>
      <c r="E17" s="61"/>
      <c r="F17" s="43" t="s">
        <v>76</v>
      </c>
      <c r="G17" s="62" t="s">
        <v>77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26"/>
    </row>
    <row r="18" spans="1:20" ht="24" customHeight="1" x14ac:dyDescent="0.25">
      <c r="A18" s="40" t="s">
        <v>78</v>
      </c>
      <c r="B18" s="70" t="s">
        <v>79</v>
      </c>
      <c r="C18" s="64"/>
      <c r="D18" s="64"/>
      <c r="E18" s="64"/>
      <c r="F18" s="42" t="s">
        <v>16</v>
      </c>
      <c r="G18" s="63" t="s">
        <v>80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41"/>
    </row>
    <row r="19" spans="1:20" ht="24" customHeight="1" x14ac:dyDescent="0.25">
      <c r="A19" s="25" t="s">
        <v>78</v>
      </c>
      <c r="B19" s="60" t="s">
        <v>81</v>
      </c>
      <c r="C19" s="61"/>
      <c r="D19" s="61"/>
      <c r="E19" s="61"/>
      <c r="F19" s="43" t="s">
        <v>16</v>
      </c>
      <c r="G19" s="62" t="s">
        <v>82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26"/>
    </row>
    <row r="20" spans="1:20" ht="24" customHeight="1" x14ac:dyDescent="0.25">
      <c r="A20" s="40" t="s">
        <v>83</v>
      </c>
      <c r="B20" s="70" t="s">
        <v>84</v>
      </c>
      <c r="C20" s="64"/>
      <c r="D20" s="64"/>
      <c r="E20" s="64"/>
      <c r="F20" s="42" t="s">
        <v>16</v>
      </c>
      <c r="G20" s="63" t="s">
        <v>85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41"/>
    </row>
    <row r="21" spans="1:20" ht="24" customHeight="1" x14ac:dyDescent="0.25">
      <c r="A21" s="25" t="s">
        <v>83</v>
      </c>
      <c r="B21" s="60" t="s">
        <v>18</v>
      </c>
      <c r="C21" s="61"/>
      <c r="D21" s="61"/>
      <c r="E21" s="61"/>
      <c r="F21" s="43" t="s">
        <v>16</v>
      </c>
      <c r="G21" s="62" t="s">
        <v>86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26"/>
    </row>
    <row r="22" spans="1:20" ht="24" customHeight="1" x14ac:dyDescent="0.25">
      <c r="A22" s="40" t="s">
        <v>83</v>
      </c>
      <c r="B22" s="70" t="s">
        <v>87</v>
      </c>
      <c r="C22" s="64"/>
      <c r="D22" s="64"/>
      <c r="E22" s="64"/>
      <c r="F22" s="42" t="s">
        <v>16</v>
      </c>
      <c r="G22" s="63" t="s">
        <v>88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41"/>
    </row>
    <row r="23" spans="1:20" ht="24" customHeight="1" x14ac:dyDescent="0.25">
      <c r="A23" s="25" t="s">
        <v>83</v>
      </c>
      <c r="B23" s="60" t="s">
        <v>89</v>
      </c>
      <c r="C23" s="61"/>
      <c r="D23" s="61"/>
      <c r="E23" s="61"/>
      <c r="F23" s="43" t="s">
        <v>16</v>
      </c>
      <c r="G23" s="62" t="s">
        <v>90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26"/>
    </row>
    <row r="24" spans="1:20" ht="24" customHeight="1" x14ac:dyDescent="0.25">
      <c r="A24" s="40" t="s">
        <v>83</v>
      </c>
      <c r="B24" s="70" t="s">
        <v>91</v>
      </c>
      <c r="C24" s="64"/>
      <c r="D24" s="64"/>
      <c r="E24" s="64"/>
      <c r="F24" s="42" t="s">
        <v>16</v>
      </c>
      <c r="G24" s="63" t="s">
        <v>92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41"/>
    </row>
    <row r="25" spans="1:20" ht="24" customHeight="1" x14ac:dyDescent="0.25">
      <c r="A25" s="25" t="s">
        <v>93</v>
      </c>
      <c r="B25" s="60" t="s">
        <v>94</v>
      </c>
      <c r="C25" s="61"/>
      <c r="D25" s="61"/>
      <c r="E25" s="61"/>
      <c r="F25" s="43" t="s">
        <v>16</v>
      </c>
      <c r="G25" s="62" t="s">
        <v>95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26"/>
    </row>
    <row r="26" spans="1:20" ht="18" customHeight="1" x14ac:dyDescent="0.25">
      <c r="A26" s="75" t="s">
        <v>96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</sheetData>
  <mergeCells count="32">
    <mergeCell ref="A26:T26"/>
    <mergeCell ref="G17:S17"/>
    <mergeCell ref="M6:O6"/>
    <mergeCell ref="A5:T5"/>
    <mergeCell ref="G15:S15"/>
    <mergeCell ref="G6:I6"/>
    <mergeCell ref="G21:S21"/>
    <mergeCell ref="B24:E24"/>
    <mergeCell ref="B17:E17"/>
    <mergeCell ref="G18:S18"/>
    <mergeCell ref="G24:S24"/>
    <mergeCell ref="B21:E21"/>
    <mergeCell ref="B22:E22"/>
    <mergeCell ref="B18:E18"/>
    <mergeCell ref="B23:E23"/>
    <mergeCell ref="B20:E20"/>
    <mergeCell ref="A1:T1"/>
    <mergeCell ref="P6:R6"/>
    <mergeCell ref="A2:T2"/>
    <mergeCell ref="J6:L6"/>
    <mergeCell ref="B16:E16"/>
    <mergeCell ref="G16:S16"/>
    <mergeCell ref="A14:T14"/>
    <mergeCell ref="A12:T12"/>
    <mergeCell ref="B15:E15"/>
    <mergeCell ref="B25:E25"/>
    <mergeCell ref="G19:S19"/>
    <mergeCell ref="G22:S22"/>
    <mergeCell ref="G20:S20"/>
    <mergeCell ref="B19:E19"/>
    <mergeCell ref="G25:S25"/>
    <mergeCell ref="G23:S23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workbookViewId="0">
      <selection activeCell="H10" sqref="H10"/>
    </sheetView>
  </sheetViews>
  <sheetFormatPr defaultColWidth="10" defaultRowHeight="15" x14ac:dyDescent="0.25"/>
  <cols>
    <col min="1" max="1" width="9.42578125" bestFit="1" customWidth="1"/>
    <col min="2" max="2" width="20.140625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18" bestFit="1" customWidth="1"/>
    <col min="16" max="16" width="6.140625" bestFit="1" customWidth="1"/>
    <col min="17" max="17" width="5.5703125" bestFit="1" customWidth="1"/>
    <col min="18" max="18" width="20" customWidth="1"/>
    <col min="19" max="19" width="15.7109375" bestFit="1" customWidth="1"/>
    <col min="20" max="20" width="24" bestFit="1" customWidth="1"/>
  </cols>
  <sheetData>
    <row r="1" spans="1:20" ht="27.95" customHeight="1" x14ac:dyDescent="0.25">
      <c r="A1" s="94" t="s">
        <v>112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ht="18" customHeight="1" x14ac:dyDescent="0.25">
      <c r="A2" s="97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98" t="s">
        <v>24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</row>
    <row r="6" spans="1:20" ht="15.95" customHeight="1" x14ac:dyDescent="0.25">
      <c r="A6" s="44"/>
      <c r="B6" s="44"/>
      <c r="C6" s="44"/>
      <c r="D6" s="44"/>
      <c r="E6" s="44"/>
      <c r="F6" s="44"/>
      <c r="G6" s="95" t="s">
        <v>25</v>
      </c>
      <c r="H6" s="96"/>
      <c r="I6" s="96"/>
      <c r="J6" s="95" t="s">
        <v>26</v>
      </c>
      <c r="K6" s="96"/>
      <c r="L6" s="96"/>
      <c r="M6" s="95" t="s">
        <v>27</v>
      </c>
      <c r="N6" s="96"/>
      <c r="O6" s="96"/>
      <c r="P6" s="95" t="s">
        <v>28</v>
      </c>
      <c r="Q6" s="96"/>
      <c r="R6" s="96"/>
      <c r="S6" s="44"/>
      <c r="T6" s="44"/>
    </row>
    <row r="7" spans="1:20" ht="38.1" customHeight="1" x14ac:dyDescent="0.25">
      <c r="A7" s="45" t="s">
        <v>29</v>
      </c>
      <c r="B7" s="45" t="s">
        <v>30</v>
      </c>
      <c r="C7" s="45" t="s">
        <v>31</v>
      </c>
      <c r="D7" s="45" t="s">
        <v>32</v>
      </c>
      <c r="E7" s="45" t="s">
        <v>33</v>
      </c>
      <c r="F7" s="45" t="s">
        <v>34</v>
      </c>
      <c r="G7" s="45" t="s">
        <v>35</v>
      </c>
      <c r="H7" s="45" t="s">
        <v>36</v>
      </c>
      <c r="I7" s="45" t="s">
        <v>37</v>
      </c>
      <c r="J7" s="45" t="s">
        <v>35</v>
      </c>
      <c r="K7" s="45" t="s">
        <v>36</v>
      </c>
      <c r="L7" s="45" t="s">
        <v>37</v>
      </c>
      <c r="M7" s="45" t="s">
        <v>35</v>
      </c>
      <c r="N7" s="45" t="s">
        <v>36</v>
      </c>
      <c r="O7" s="45" t="s">
        <v>37</v>
      </c>
      <c r="P7" s="45" t="s">
        <v>35</v>
      </c>
      <c r="Q7" s="45" t="s">
        <v>36</v>
      </c>
      <c r="R7" s="45" t="s">
        <v>37</v>
      </c>
      <c r="S7" s="45" t="s">
        <v>38</v>
      </c>
      <c r="T7" s="45" t="s">
        <v>39</v>
      </c>
    </row>
    <row r="8" spans="1:20" ht="36" customHeight="1" x14ac:dyDescent="0.25">
      <c r="A8" s="46">
        <v>1</v>
      </c>
      <c r="B8" s="47" t="s">
        <v>144</v>
      </c>
      <c r="C8" s="48">
        <v>4</v>
      </c>
      <c r="D8" s="48" t="s">
        <v>145</v>
      </c>
      <c r="E8" s="49">
        <v>70</v>
      </c>
      <c r="F8" s="34" t="s">
        <v>99</v>
      </c>
      <c r="G8" s="48"/>
      <c r="H8" s="48"/>
      <c r="I8" s="8" t="s">
        <v>146</v>
      </c>
      <c r="J8" s="48"/>
      <c r="K8" s="48"/>
      <c r="L8" s="9" t="s">
        <v>106</v>
      </c>
      <c r="M8" s="48"/>
      <c r="N8" s="48"/>
      <c r="O8" s="10" t="s">
        <v>107</v>
      </c>
      <c r="P8" s="48"/>
      <c r="Q8" s="48"/>
      <c r="R8" s="10" t="s">
        <v>147</v>
      </c>
      <c r="S8" s="48" t="str">
        <f>IF(Q8="","–",IF(ISNUMBER(Q8),IF(Q8&gt;8,"✓ TAK – dodaj 2,5 kg","✗ NIE – zostań z ciężarem"),"–"))</f>
        <v>–</v>
      </c>
      <c r="T8" s="50"/>
    </row>
    <row r="9" spans="1:20" ht="36" customHeight="1" x14ac:dyDescent="0.25">
      <c r="A9" s="51">
        <v>2</v>
      </c>
      <c r="B9" s="14" t="s">
        <v>148</v>
      </c>
      <c r="C9" s="15">
        <v>3</v>
      </c>
      <c r="D9" s="15" t="s">
        <v>49</v>
      </c>
      <c r="E9" s="16">
        <v>40</v>
      </c>
      <c r="F9" s="7" t="s">
        <v>42</v>
      </c>
      <c r="G9" s="15"/>
      <c r="H9" s="15"/>
      <c r="I9" s="9" t="s">
        <v>149</v>
      </c>
      <c r="J9" s="15"/>
      <c r="K9" s="15"/>
      <c r="L9" s="10" t="s">
        <v>150</v>
      </c>
      <c r="M9" s="15"/>
      <c r="N9" s="15"/>
      <c r="O9" s="11" t="s">
        <v>46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151</v>
      </c>
    </row>
    <row r="10" spans="1:20" ht="36" customHeight="1" x14ac:dyDescent="0.25">
      <c r="A10" s="46">
        <v>3</v>
      </c>
      <c r="B10" s="47" t="s">
        <v>152</v>
      </c>
      <c r="C10" s="48">
        <v>3</v>
      </c>
      <c r="D10" s="48" t="s">
        <v>110</v>
      </c>
      <c r="E10" s="49">
        <v>50</v>
      </c>
      <c r="F10" s="7" t="s">
        <v>42</v>
      </c>
      <c r="G10" s="48"/>
      <c r="H10" s="48"/>
      <c r="I10" s="9" t="s">
        <v>51</v>
      </c>
      <c r="J10" s="48"/>
      <c r="K10" s="48"/>
      <c r="L10" s="10" t="s">
        <v>69</v>
      </c>
      <c r="M10" s="48"/>
      <c r="N10" s="48"/>
      <c r="O10" s="11" t="s">
        <v>46</v>
      </c>
      <c r="P10" s="17"/>
      <c r="Q10" s="17"/>
      <c r="R10" s="17"/>
      <c r="S10" s="48" t="str">
        <f>IF(N10="","–",IF(ISNUMBER(N10),IF(N10&gt;12,"✓ TAK – dodaj 2,5 kg","✗ NIE – zostań z ciężarem"),"–"))</f>
        <v>–</v>
      </c>
      <c r="T10" s="52" t="s">
        <v>153</v>
      </c>
    </row>
    <row r="11" spans="1:20" ht="15.95" customHeight="1" x14ac:dyDescent="0.25">
      <c r="A11" s="72" t="s">
        <v>71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</row>
    <row r="13" spans="1:20" ht="21.95" customHeight="1" x14ac:dyDescent="0.25">
      <c r="A13" s="88" t="s">
        <v>113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</row>
    <row r="14" spans="1:20" ht="27.95" customHeight="1" x14ac:dyDescent="0.25">
      <c r="A14" s="53" t="s">
        <v>3</v>
      </c>
      <c r="B14" s="92" t="s">
        <v>4</v>
      </c>
      <c r="C14" s="93"/>
      <c r="D14" s="93"/>
      <c r="E14" s="93"/>
      <c r="F14" s="53" t="s">
        <v>5</v>
      </c>
      <c r="G14" s="92" t="s">
        <v>6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54"/>
    </row>
    <row r="15" spans="1:20" ht="24" customHeight="1" x14ac:dyDescent="0.25">
      <c r="A15" s="55" t="s">
        <v>7</v>
      </c>
      <c r="B15" s="89" t="s">
        <v>114</v>
      </c>
      <c r="C15" s="90"/>
      <c r="D15" s="90"/>
      <c r="E15" s="90"/>
      <c r="F15" s="57" t="s">
        <v>115</v>
      </c>
      <c r="G15" s="91" t="s">
        <v>116</v>
      </c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56"/>
    </row>
    <row r="16" spans="1:20" ht="24" customHeight="1" x14ac:dyDescent="0.25">
      <c r="A16" s="25" t="s">
        <v>117</v>
      </c>
      <c r="B16" s="60" t="s">
        <v>118</v>
      </c>
      <c r="C16" s="61"/>
      <c r="D16" s="61"/>
      <c r="E16" s="61"/>
      <c r="F16" s="58" t="s">
        <v>16</v>
      </c>
      <c r="G16" s="62" t="s">
        <v>119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26"/>
    </row>
    <row r="17" spans="1:20" ht="24" customHeight="1" x14ac:dyDescent="0.25">
      <c r="A17" s="55" t="s">
        <v>117</v>
      </c>
      <c r="B17" s="89" t="s">
        <v>120</v>
      </c>
      <c r="C17" s="90"/>
      <c r="D17" s="90"/>
      <c r="E17" s="90"/>
      <c r="F17" s="57" t="s">
        <v>16</v>
      </c>
      <c r="G17" s="91" t="s">
        <v>121</v>
      </c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56"/>
    </row>
    <row r="18" spans="1:20" ht="24" customHeight="1" x14ac:dyDescent="0.25">
      <c r="A18" s="25" t="s">
        <v>117</v>
      </c>
      <c r="B18" s="60" t="s">
        <v>122</v>
      </c>
      <c r="C18" s="61"/>
      <c r="D18" s="61"/>
      <c r="E18" s="61"/>
      <c r="F18" s="58" t="s">
        <v>16</v>
      </c>
      <c r="G18" s="62" t="s">
        <v>123</v>
      </c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26"/>
    </row>
    <row r="19" spans="1:20" ht="24" customHeight="1" x14ac:dyDescent="0.25">
      <c r="A19" s="55" t="s">
        <v>117</v>
      </c>
      <c r="B19" s="89" t="s">
        <v>124</v>
      </c>
      <c r="C19" s="90"/>
      <c r="D19" s="90"/>
      <c r="E19" s="90"/>
      <c r="F19" s="57" t="s">
        <v>16</v>
      </c>
      <c r="G19" s="91" t="s">
        <v>125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56"/>
    </row>
    <row r="20" spans="1:20" ht="24" customHeight="1" x14ac:dyDescent="0.25">
      <c r="A20" s="25" t="s">
        <v>126</v>
      </c>
      <c r="B20" s="60" t="s">
        <v>127</v>
      </c>
      <c r="C20" s="61"/>
      <c r="D20" s="61"/>
      <c r="E20" s="61"/>
      <c r="F20" s="58" t="s">
        <v>16</v>
      </c>
      <c r="G20" s="62" t="s">
        <v>128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26"/>
    </row>
    <row r="21" spans="1:20" ht="24" customHeight="1" x14ac:dyDescent="0.25">
      <c r="A21" s="55" t="s">
        <v>129</v>
      </c>
      <c r="B21" s="89" t="s">
        <v>130</v>
      </c>
      <c r="C21" s="90"/>
      <c r="D21" s="90"/>
      <c r="E21" s="90"/>
      <c r="F21" s="57" t="s">
        <v>16</v>
      </c>
      <c r="G21" s="91" t="s">
        <v>131</v>
      </c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56"/>
    </row>
    <row r="22" spans="1:20" ht="24" customHeight="1" x14ac:dyDescent="0.25">
      <c r="A22" s="25" t="s">
        <v>129</v>
      </c>
      <c r="B22" s="60" t="s">
        <v>132</v>
      </c>
      <c r="C22" s="61"/>
      <c r="D22" s="61"/>
      <c r="E22" s="61"/>
      <c r="F22" s="58" t="s">
        <v>16</v>
      </c>
      <c r="G22" s="62" t="s">
        <v>133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26"/>
    </row>
    <row r="23" spans="1:20" ht="24" customHeight="1" x14ac:dyDescent="0.25">
      <c r="A23" s="55" t="s">
        <v>129</v>
      </c>
      <c r="B23" s="89" t="s">
        <v>134</v>
      </c>
      <c r="C23" s="90"/>
      <c r="D23" s="90"/>
      <c r="E23" s="90"/>
      <c r="F23" s="57" t="s">
        <v>16</v>
      </c>
      <c r="G23" s="91" t="s">
        <v>135</v>
      </c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56"/>
    </row>
    <row r="24" spans="1:20" ht="24" customHeight="1" x14ac:dyDescent="0.25">
      <c r="A24" s="25" t="s">
        <v>129</v>
      </c>
      <c r="B24" s="60" t="s">
        <v>136</v>
      </c>
      <c r="C24" s="61"/>
      <c r="D24" s="61"/>
      <c r="E24" s="61"/>
      <c r="F24" s="58" t="s">
        <v>16</v>
      </c>
      <c r="G24" s="62" t="s">
        <v>90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26"/>
    </row>
    <row r="25" spans="1:20" ht="24" customHeight="1" x14ac:dyDescent="0.25">
      <c r="A25" s="55" t="s">
        <v>137</v>
      </c>
      <c r="B25" s="89" t="s">
        <v>138</v>
      </c>
      <c r="C25" s="90"/>
      <c r="D25" s="90"/>
      <c r="E25" s="90"/>
      <c r="F25" s="57" t="s">
        <v>16</v>
      </c>
      <c r="G25" s="91" t="s">
        <v>139</v>
      </c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56"/>
    </row>
    <row r="26" spans="1:20" ht="24" customHeight="1" x14ac:dyDescent="0.25">
      <c r="A26" s="25" t="s">
        <v>140</v>
      </c>
      <c r="B26" s="60" t="s">
        <v>141</v>
      </c>
      <c r="C26" s="61"/>
      <c r="D26" s="61"/>
      <c r="E26" s="61"/>
      <c r="F26" s="58" t="s">
        <v>16</v>
      </c>
      <c r="G26" s="62" t="s">
        <v>142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26"/>
    </row>
    <row r="27" spans="1:20" ht="18" customHeight="1" x14ac:dyDescent="0.25">
      <c r="A27" s="75" t="s">
        <v>143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</sheetData>
  <mergeCells count="36">
    <mergeCell ref="G14:S14"/>
    <mergeCell ref="A1:T1"/>
    <mergeCell ref="P6:R6"/>
    <mergeCell ref="A11:T11"/>
    <mergeCell ref="A2:T2"/>
    <mergeCell ref="G6:I6"/>
    <mergeCell ref="A5:T5"/>
    <mergeCell ref="M6:O6"/>
    <mergeCell ref="J6:L6"/>
    <mergeCell ref="G15:S15"/>
    <mergeCell ref="B16:E16"/>
    <mergeCell ref="G23:S23"/>
    <mergeCell ref="G16:S16"/>
    <mergeCell ref="A27:T27"/>
    <mergeCell ref="G18:S18"/>
    <mergeCell ref="G26:S26"/>
    <mergeCell ref="B19:E19"/>
    <mergeCell ref="B22:E22"/>
    <mergeCell ref="B23:E23"/>
    <mergeCell ref="B20:E20"/>
    <mergeCell ref="A13:T13"/>
    <mergeCell ref="B26:E26"/>
    <mergeCell ref="B17:E17"/>
    <mergeCell ref="G22:S22"/>
    <mergeCell ref="B24:E24"/>
    <mergeCell ref="G21:S21"/>
    <mergeCell ref="G19:S19"/>
    <mergeCell ref="G17:S17"/>
    <mergeCell ref="G25:S25"/>
    <mergeCell ref="B21:E21"/>
    <mergeCell ref="B14:E14"/>
    <mergeCell ref="B15:E15"/>
    <mergeCell ref="G24:S24"/>
    <mergeCell ref="B25:E25"/>
    <mergeCell ref="B18:E18"/>
    <mergeCell ref="G20:S20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– Klatka · Barki · Triceps</vt:lpstr>
      <vt:lpstr>PULL – Plecy · Biceps</vt:lpstr>
      <vt:lpstr>NOGI – Uda · Pośladki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2026-06-02T10:58:15Z</dcterms:created>
  <dcterms:modified xsi:type="dcterms:W3CDTF">2026-06-14T10:34:26Z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MSIP_Label_fc6c1fee-2f04-49ca-98cf-bcf61896c7fa_SiteId">
    <vt:lpwstr>4a90c23a-3ece-4ef2-b857-522f23b8204c</vt:lpwstr>
  </property>
  <property fmtid="{D5CDD505-2E9C-101B-9397-08002B2CF9AE}" pid="5" name="MSIP_Label_fc6c1fee-2f04-49ca-98cf-bcf61896c7fa_ActionId">
    <vt:lpwstr>79faf6d9-b91e-41e4-98ae-e90a4d6833e9</vt:lpwstr>
  </property>
  <property fmtid="{D5CDD505-2E9C-101B-9397-08002B2CF9AE}" pid="6" name="MSIP_Label_fc6c1fee-2f04-49ca-98cf-bcf61896c7fa_SetDate">
    <vt:lpwstr>2026-06-02T13:01:15Z</vt:lpwstr>
  </property>
  <property fmtid="{D5CDD505-2E9C-101B-9397-08002B2CF9AE}" pid="7" name="MSIP_Label_fc6c1fee-2f04-49ca-98cf-bcf61896c7fa_Method">
    <vt:lpwstr>Standard</vt:lpwstr>
  </property>
  <property fmtid="{D5CDD505-2E9C-101B-9397-08002B2CF9AE}" pid="8" name="MSIP_Label_fc6c1fee-2f04-49ca-98cf-bcf61896c7fa_Enabled">
    <vt:lpwstr>true</vt:lpwstr>
  </property>
  <property fmtid="{D5CDD505-2E9C-101B-9397-08002B2CF9AE}" pid="9" name="ICV">
    <vt:lpwstr>640660c9304b444a82ea5cf162951d24</vt:lpwstr>
  </property>
  <property fmtid="{D5CDD505-2E9C-101B-9397-08002B2CF9AE}" pid="10" name="MSIP_Label_fc6c1fee-2f04-49ca-98cf-bcf61896c7fa_Name">
    <vt:lpwstr>Internal</vt:lpwstr>
  </property>
</Properties>
</file>