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7" rupBuild="30026"/>
  <workbookPr defaultThemeVersion="153222"/>
  <bookViews>
    <workbookView xWindow="-120" yWindow="-120" windowWidth="29040" windowHeight="15720" activeTab="0"/>
  </bookViews>
  <sheets>
    <sheet name="PUSH – Klatka · Barki · Triceps" sheetId="1" r:id="rId1"/>
    <sheet name="PULL – Plecy · Biceps" sheetId="2" r:id="rId2"/>
    <sheet name="NOGI – Uda · Pośladki" sheetId="3" r:id="rId3"/>
  </sheets>
  <calcPr calcId="191029"/>
</workbook>
</file>

<file path=xl/sharedStrings.xml><?xml version="1.0" encoding="utf-8"?>
<sst xmlns="http://schemas.openxmlformats.org/spreadsheetml/2006/main" uniqueCount="161" count="161">
  <si>
    <t>PUSH – Klatka · Barki · Triceps</t>
  </si>
  <si>
    <t>Progresja: gdy ostatnia seria (do upadku) przekracza górny pułap zakresu → następny trening dodaj 2,5 kg</t>
  </si>
  <si>
    <t>TRENING WŁAŚCIWY</t>
  </si>
  <si>
    <t>SERIA 1</t>
  </si>
  <si>
    <t>SERIA 2</t>
  </si>
  <si>
    <t>SERIA 3</t>
  </si>
  <si>
    <t>SERIA 4</t>
  </si>
  <si>
    <t>#</t>
  </si>
  <si>
    <t>Ćwiczenie</t>
  </si>
  <si>
    <t>Serie
w planie</t>
  </si>
  <si>
    <t>Zakres
powt.</t>
  </si>
  <si>
    <t>Ciężar startowy</t>
  </si>
  <si>
    <t>Ostatnia seria
do upadku?</t>
  </si>
  <si>
    <t>Ciężar
(kg)</t>
  </si>
  <si>
    <t>Powt.</t>
  </si>
  <si>
    <t>RIR cel
+ wskazówka</t>
  </si>
  <si>
    <t>Dodać ciężar
następny trening?</t>
  </si>
  <si>
    <t>Wskazówki techniczne</t>
  </si>
  <si>
    <t>Wyciskanie sztangi – płaska</t>
  </si>
  <si>
    <t>6–8</t>
  </si>
  <si>
    <t>TAK – ostatnia seria do upadku</t>
  </si>
  <si>
    <t>RIR 3  –  8 powt., 3 w zapasie</t>
  </si>
  <si>
    <t>RIR 2  –  7–8 powt., 2 w zapasie</t>
  </si>
  <si>
    <t>RIR 1  –  6–7 powt., 1 w zapasie</t>
  </si>
  <si>
    <t>piramida – każda seria ciężej</t>
  </si>
  <si>
    <t>Wyciskanie hantlami – skośna +30°</t>
  </si>
  <si>
    <t>8–10</t>
  </si>
  <si>
    <t>2 × 25 kg</t>
  </si>
  <si>
    <t>2x25</t>
  </si>
  <si>
    <t>RIR 2  –  10 powt., 2 w zapasie</t>
  </si>
  <si>
    <t>RIR 1  –  9–10 powt., 1 w zapasie</t>
  </si>
  <si>
    <t>3 s opuszczanie przez całą serię</t>
  </si>
  <si>
    <t>OHP sztangą</t>
  </si>
  <si>
    <t>6–10</t>
  </si>
  <si>
    <t>30 kg</t>
  </si>
  <si>
    <t>RIR 3  –  7–8 powt., 3 w zapasie</t>
  </si>
  <si>
    <t>RIR 2  –  8–9 powt., 2 w zapasie</t>
  </si>
  <si>
    <t>Odwodzenie na wyciągu jednorącz</t>
  </si>
  <si>
    <t>12–15</t>
  </si>
  <si>
    <t>RIR 2  –  12–13 powt., 2 w zapasie</t>
  </si>
  <si>
    <t>RIR 1  –  13–14 powt., 1 w zapasie</t>
  </si>
  <si>
    <t>RIR 0  –  DO UPADKU</t>
  </si>
  <si>
    <t>łokieć lekko ugięty, kontrolowane opuszczanie</t>
  </si>
  <si>
    <t>Dipy – nacisk na triceps</t>
  </si>
  <si>
    <t>8–12</t>
  </si>
  <si>
    <t>BW → pas +5 kg gdy łatwe</t>
  </si>
  <si>
    <t>RIR 3  –  9 powt., 3 w zapasie</t>
  </si>
  <si>
    <t>RIR 1  –  11 powt., 1 w zapasie</t>
  </si>
  <si>
    <t>bw</t>
  </si>
  <si>
    <t>tułów pionowo, łokcie blisko ciała</t>
  </si>
  <si>
    <t>Kolory RIR: zielony=RIR 3, niebieski=RIR 2, pomarańczowy=RIR 1, czerwony=RIR 0/upadek. Szare pola = seria nie w planie.</t>
  </si>
  <si>
    <t>ROZGRZEWKA – PUSH</t>
  </si>
  <si>
    <t>Faza</t>
  </si>
  <si>
    <t>Ćwiczenie / aktywność</t>
  </si>
  <si>
    <t>Czas</t>
  </si>
  <si>
    <t>Wskazówka</t>
  </si>
  <si>
    <t>🔵 Ogólna</t>
  </si>
  <si>
    <t>Rower / orbitrek</t>
  </si>
  <si>
    <t>5 min</t>
  </si>
  <si>
    <t>umiarkowane tempo – podniesienie tętna i temperatury mięśni</t>
  </si>
  <si>
    <t>Krążenia ramion + rotacje tułowia + 10 pompek BW</t>
  </si>
  <si>
    <t>2–3 min</t>
  </si>
  <si>
    <t>dynamicznie, bez zatrzymywania</t>
  </si>
  <si>
    <t>🟠 Przed wyciskaniem sztangi</t>
  </si>
  <si>
    <t>Tylko gryf (20 kg) × 10 powt.</t>
  </si>
  <si>
    <t>–</t>
  </si>
  <si>
    <t>skupiasz się na torze ruchu</t>
  </si>
  <si>
    <t>50 kg × 5 powt.</t>
  </si>
  <si>
    <t>czujesz ciężar, dużo w zapasie</t>
  </si>
  <si>
    <t>🟠 Przed OHP</t>
  </si>
  <si>
    <t>15–20 kg × 8 powt.</t>
  </si>
  <si>
    <t>barki nagrzane po klatce – wystarczy 1 seria</t>
  </si>
  <si>
    <t>⚠  NIE rozciągaj statycznie przed treningiem – osłabia siłę. Tylko dynamiczne rozgrzewanie.</t>
  </si>
  <si>
    <t>PULL – Plecy · Biceps</t>
  </si>
  <si>
    <t>Martwy ciąg</t>
  </si>
  <si>
    <t>4–6</t>
  </si>
  <si>
    <t>⚠ NIGDY do upadku – ryzyko kręgosłupa</t>
  </si>
  <si>
    <t>RIR 3  –  4 powt., 3 w zapasie</t>
  </si>
  <si>
    <t>RIR 2  –  5 powt., 2 w zapasie</t>
  </si>
  <si>
    <t>RIR 1  –  5–6 powt., 1 w zapasie</t>
  </si>
  <si>
    <t>RIR 1  –  6 powt., 1 w zapasie – max RIR 1</t>
  </si>
  <si>
    <t>Podciąganie na drążku</t>
  </si>
  <si>
    <t>BW</t>
  </si>
  <si>
    <t>RIR 2  –  6 powt., 2 w zapasie</t>
  </si>
  <si>
    <t>RIR 1  –  7 powt., 1 w zapasie</t>
  </si>
  <si>
    <t>nachwyt / podchwyt naprzemiennie co sesję</t>
  </si>
  <si>
    <t>Wiosłowanie sztangą</t>
  </si>
  <si>
    <t xml:space="preserve"> 8-10</t>
  </si>
  <si>
    <t>Uginanie hantlami stojąc</t>
  </si>
  <si>
    <t>10–12</t>
  </si>
  <si>
    <t>2 x 12</t>
  </si>
  <si>
    <t>supinacja w górze, biceps zmęczony drążkiem</t>
  </si>
  <si>
    <t>ROZGRZEWKA – PULL</t>
  </si>
  <si>
    <t>umiarkowane tempo</t>
  </si>
  <si>
    <t>Kilka przysiadów BW + rotacje bioder</t>
  </si>
  <si>
    <t>2 min</t>
  </si>
  <si>
    <t>angażuje biodra i dolne plecy przed martwym</t>
  </si>
  <si>
    <t>🟠 Aktywacja przed MC</t>
  </si>
  <si>
    <t>Mostek biodrowy na podłodze 2 × 10</t>
  </si>
  <si>
    <t>aktywacja pośladków i stabilizatorów kręgosłupa</t>
  </si>
  <si>
    <t>Bird-dog 2 × 8 na stronę</t>
  </si>
  <si>
    <t>stabilizacja odcinka lędźwiowego</t>
  </si>
  <si>
    <t>🟠 Przed martwym ciągiem</t>
  </si>
  <si>
    <t>Gryf (20 kg) × 8 powt.</t>
  </si>
  <si>
    <t>tylko technika – pozycja pleców, ustawienie bioder</t>
  </si>
  <si>
    <t>zaczyna być czuć ciężar</t>
  </si>
  <si>
    <t>70 kg × 3 powt.</t>
  </si>
  <si>
    <t>krótka – nie zmęczyć się</t>
  </si>
  <si>
    <t>90 kg × 2 powt.</t>
  </si>
  <si>
    <t>ostatni skok przed roboczymi</t>
  </si>
  <si>
    <t>100 kg × 1 powt.</t>
  </si>
  <si>
    <t>aktywacja układu nerwowego – wchodzisz pewny w 110 kg</t>
  </si>
  <si>
    <t>🟠 Przed drążkiem</t>
  </si>
  <si>
    <t>5 luźnych podciągnięć z gumą lub niepełny zakres</t>
  </si>
  <si>
    <t>tylko jeśli czujesz sztywność w łokciach / barkach</t>
  </si>
  <si>
    <t>⚠  NIE rozciągaj statycznie dolnych pleców przed martwym – destabilizuje odcinek lędźwiowy.</t>
  </si>
  <si>
    <t>NOGI – Uda · Pośladki</t>
  </si>
  <si>
    <t>Przysiad ze sztangą</t>
  </si>
  <si>
    <t>5–8</t>
  </si>
  <si>
    <t>RIR 3  –  5 powt., 3 w zapasie</t>
  </si>
  <si>
    <t>RIR 1  –  7–8 powt., 1 w zapasie – max RIR 1</t>
  </si>
  <si>
    <t>RDL ze sztangą</t>
  </si>
  <si>
    <t>RIR 2  –  8 powt., 2 w zapasie</t>
  </si>
  <si>
    <t>RIR 1  –  9 powt., 1 w zapasie</t>
  </si>
  <si>
    <t>skup się na rozciągnięciu dwugłowych</t>
  </si>
  <si>
    <t>Hip thrust ze sztangą</t>
  </si>
  <si>
    <t>1. sesja = kalibracja ciężaru</t>
  </si>
  <si>
    <t>ROZGRZEWKA – NOGI</t>
  </si>
  <si>
    <t>Rower stacjonarny</t>
  </si>
  <si>
    <t>5–7 min</t>
  </si>
  <si>
    <t>angażuje dokładnie te mięśnie co trening – najlepsza opcja przed nogami</t>
  </si>
  <si>
    <t>🟠 Mobilizacja</t>
  </si>
  <si>
    <t>Krążenia bioder stojąc – 10 w każdą stronę</t>
  </si>
  <si>
    <t>rozgrzewa staw biodrowy</t>
  </si>
  <si>
    <t>Wypady z rotacją tułowia – 8 na stronę</t>
  </si>
  <si>
    <t>otwiera biodra, mobilizuje kręgosłup piersiowy</t>
  </si>
  <si>
    <t>Głęboki przysiad BW z 2–3 s przytrzymaniem na dole × 10</t>
  </si>
  <si>
    <t>sprawdzasz zakres – kostki, kolana, biodra</t>
  </si>
  <si>
    <t>Krążenia kostek – 10 w każdą stronę</t>
  </si>
  <si>
    <t>sztywne kostki ograniczają głębokość przysiadu</t>
  </si>
  <si>
    <t>🟠 Opcjonalnie</t>
  </si>
  <si>
    <t>Monster walk z gumą oporową na kolanach 2 × 10</t>
  </si>
  <si>
    <t>jeśli kolana wpadają do środka lub problem z głębokością</t>
  </si>
  <si>
    <t>🟠 Przed przysiadem</t>
  </si>
  <si>
    <t>Gryf (20 kg) × 10 powt.</t>
  </si>
  <si>
    <t>czysty ruch, sprawdzasz mobilność</t>
  </si>
  <si>
    <t>40 kg × 6 powt.</t>
  </si>
  <si>
    <t>zaczyna być czuć obciążenie</t>
  </si>
  <si>
    <t>60 kg × 4 powt.</t>
  </si>
  <si>
    <t>technika nadal priorytetem</t>
  </si>
  <si>
    <t>70 kg × 2 powt.</t>
  </si>
  <si>
    <t>🟠 Przed RDL</t>
  </si>
  <si>
    <t>30 kg × 8 powt.</t>
  </si>
  <si>
    <t>1 lekka seria – ustawienie techniki</t>
  </si>
  <si>
    <t>🟠 Przed hip thrustem</t>
  </si>
  <si>
    <t>Mostek biodrowy BW × 10 (opcjonalnie)</t>
  </si>
  <si>
    <t>jeśli nie czujesz połączenia z pośladkami</t>
  </si>
  <si>
    <t>⚠  Rozgrzewka przed nogami jest najdłuższa – zaplanuj 12–15 min zanim wejdziesz pod sztangę.</t>
  </si>
  <si>
    <t>RIR 0  –  DO UPADKU min 9</t>
  </si>
  <si>
    <t>RIR 0  –  DO UPADKU min 11</t>
  </si>
  <si>
    <t>7,5</t>
  </si>
</sst>
</file>

<file path=xl/styles.xml><?xml version="1.0" encoding="utf-8"?>
<styleSheet xmlns="http://schemas.openxmlformats.org/spreadsheetml/2006/main">
  <numFmts count="1">
    <numFmt numFmtId="0" formatCode="General"/>
  </numFmts>
  <fonts count="34">
    <font>
      <name val="Calibri"/>
      <sz val="11"/>
    </font>
    <font>
      <name val="Arial"/>
      <b/>
      <sz val="13"/>
      <color rgb="FFFFFFFF"/>
    </font>
    <font>
      <name val="Calibri"/>
      <sz val="11"/>
    </font>
    <font>
      <name val="Arial"/>
      <i/>
      <sz val="9"/>
      <color rgb="FF1565C0"/>
    </font>
    <font>
      <name val="Arial"/>
      <b/>
      <sz val="11"/>
      <color rgb="FFFFFFFF"/>
    </font>
    <font>
      <name val="Arial"/>
      <sz val="10"/>
      <color rgb="FFFFFFFF"/>
    </font>
    <font>
      <name val="Arial"/>
      <b/>
      <sz val="10"/>
      <color rgb="FFFFFFFF"/>
    </font>
    <font>
      <name val="Arial"/>
      <b/>
      <sz val="9"/>
      <color rgb="FFFFFFFF"/>
    </font>
    <font>
      <name val="Arial"/>
      <b/>
      <sz val="10"/>
      <color rgb="FF1565C0"/>
    </font>
    <font>
      <name val="Arial"/>
      <b/>
      <sz val="10"/>
      <color rgb="FF000000"/>
    </font>
    <font>
      <name val="Arial"/>
      <sz val="10"/>
      <color rgb="FF000000"/>
    </font>
    <font>
      <name val="Arial"/>
      <sz val="9"/>
      <color rgb="FF000000"/>
    </font>
    <font>
      <name val="Arial"/>
      <sz val="9"/>
      <color rgb="FF1B5E20"/>
    </font>
    <font>
      <name val="Arial"/>
      <sz val="9"/>
      <color rgb="FF1565C0"/>
    </font>
    <font>
      <name val="Arial"/>
      <sz val="9"/>
      <color rgb="FFE65100"/>
    </font>
    <font>
      <name val="Arial"/>
      <b/>
      <sz val="9"/>
      <color rgb="FFC62828"/>
    </font>
    <font>
      <name val="Arial"/>
      <i/>
      <sz val="9"/>
      <color rgb="FF555555"/>
    </font>
    <font>
      <name val="Arial"/>
      <sz val="10"/>
      <color rgb="FFCCCCCC"/>
    </font>
    <font>
      <name val="Arial"/>
      <sz val="9"/>
      <color rgb="FF555555"/>
    </font>
    <font>
      <name val="Calibri"/>
      <sz val="11"/>
      <color rgb="FF000000"/>
    </font>
    <font>
      <name val="Arial"/>
      <i/>
      <sz val="8"/>
      <color rgb="FF888888"/>
    </font>
    <font>
      <name val="Arial"/>
      <sz val="8"/>
      <color rgb="FF000000"/>
    </font>
    <font>
      <name val="Arial"/>
      <b/>
      <sz val="9"/>
      <color rgb="FF000000"/>
    </font>
    <font>
      <name val="Arial"/>
      <b/>
      <sz val="9"/>
      <color rgb="FF1A237E"/>
    </font>
    <font>
      <name val="Arial"/>
      <i/>
      <sz val="9"/>
      <color rgb="FF444444"/>
    </font>
    <font>
      <name val="Calibri"/>
      <sz val="11"/>
      <color rgb="FF000000"/>
    </font>
    <font>
      <name val="Arial"/>
      <i/>
      <sz val="9"/>
      <color rgb="FFBF360C"/>
    </font>
    <font>
      <name val="Arial"/>
      <i/>
      <sz val="9"/>
      <color rgb="FF1B5E20"/>
    </font>
    <font>
      <name val="Arial"/>
      <b/>
      <sz val="10"/>
      <color rgb="FF1B5E20"/>
    </font>
    <font>
      <name val="Arial"/>
      <sz val="9"/>
      <color rgb="FFBF360C"/>
    </font>
    <font>
      <name val="Arial"/>
      <b/>
      <sz val="9"/>
      <color rgb="FF1B4020"/>
    </font>
    <font>
      <name val="Arial"/>
      <i/>
      <sz val="9"/>
      <color rgb="FFE65100"/>
    </font>
    <font>
      <name val="Arial"/>
      <b/>
      <sz val="10"/>
      <color rgb="FFE65100"/>
    </font>
    <font>
      <name val="Arial"/>
      <b/>
      <sz val="9"/>
      <color rgb="FFBF360C"/>
    </font>
  </fonts>
  <fills count="22">
    <fill>
      <patternFill patternType="none"/>
    </fill>
    <fill>
      <patternFill patternType="gray125"/>
    </fill>
    <fill>
      <patternFill patternType="solid">
        <fgColor rgb="FF1565C0"/>
        <bgColor rgb="FF1565C0"/>
      </patternFill>
    </fill>
    <fill>
      <patternFill patternType="solid">
        <fgColor rgb="FFBBDEFB"/>
        <bgColor rgb="FFBBDEFB"/>
      </patternFill>
    </fill>
    <fill>
      <patternFill patternType="solid">
        <fgColor rgb="FFE3F2FD"/>
        <bgColor rgb="FFE3F2FD"/>
      </patternFill>
    </fill>
    <fill>
      <patternFill patternType="solid">
        <fgColor rgb="FFE8F5E9"/>
        <bgColor rgb="FFE8F5E9"/>
      </patternFill>
    </fill>
    <fill>
      <patternFill patternType="solid">
        <fgColor rgb="FFFFF8E1"/>
        <bgColor rgb="FFFFF8E1"/>
      </patternFill>
    </fill>
    <fill>
      <patternFill patternType="solid">
        <fgColor rgb="FFFFF0F0"/>
        <bgColor rgb="FFFFF0F0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FAFAFA"/>
        <bgColor rgb="FFFAFAFA"/>
      </patternFill>
    </fill>
    <fill>
      <patternFill patternType="solid">
        <fgColor rgb="FF1A237E"/>
        <bgColor rgb="FF1A237E"/>
      </patternFill>
    </fill>
    <fill>
      <patternFill patternType="solid">
        <fgColor rgb="FFE8EAF6"/>
        <bgColor rgb="FFE8EAF6"/>
      </patternFill>
    </fill>
    <fill>
      <patternFill patternType="solid">
        <fgColor rgb="FFFFF3E0"/>
        <bgColor rgb="FFFFF3E0"/>
      </patternFill>
    </fill>
    <fill>
      <patternFill patternType="solid">
        <fgColor rgb="FF1B5E20"/>
        <bgColor rgb="FF1B5E20"/>
      </patternFill>
    </fill>
    <fill>
      <patternFill patternType="solid">
        <fgColor rgb="FFC8E6C9"/>
        <bgColor rgb="FFC8E6C9"/>
      </patternFill>
    </fill>
    <fill>
      <patternFill patternType="solid">
        <fgColor rgb="FF1B4020"/>
        <bgColor rgb="FF1B4020"/>
      </patternFill>
    </fill>
    <fill>
      <patternFill patternType="solid">
        <fgColor rgb="FFF1F8E9"/>
        <bgColor rgb="FFF1F8E9"/>
      </patternFill>
    </fill>
    <fill>
      <patternFill patternType="solid">
        <fgColor rgb="FFE65100"/>
        <bgColor rgb="FFE65100"/>
      </patternFill>
    </fill>
    <fill>
      <patternFill patternType="solid">
        <fgColor rgb="FFFFE0B2"/>
        <bgColor rgb="FFFFE0B2"/>
      </patternFill>
    </fill>
    <fill>
      <patternFill patternType="solid">
        <fgColor rgb="FFBF360C"/>
        <bgColor rgb="FFBF360C"/>
      </patternFill>
    </fill>
    <fill>
      <patternFill patternType="solid">
        <fgColor rgb="FFFBE9E7"/>
        <bgColor rgb="FFFBE9E7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91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bottom"/>
    </xf>
    <xf numFmtId="0" fontId="3" fillId="3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vertical="bottom"/>
    </xf>
    <xf numFmtId="0" fontId="2" fillId="0" borderId="4" xfId="0" applyFont="1" applyBorder="1" applyAlignment="1">
      <alignment vertical="bottom"/>
    </xf>
    <xf numFmtId="0" fontId="7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horizontal="center" vertical="center"/>
    </xf>
    <xf numFmtId="0" fontId="11" fillId="4" borderId="5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left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4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4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11" fillId="8" borderId="5" xfId="0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left" vertical="center" wrapText="1"/>
    </xf>
    <xf numFmtId="0" fontId="18" fillId="4" borderId="1" xfId="0" applyFont="1" applyFill="1" applyBorder="1" applyAlignment="1">
      <alignment horizontal="left" vertical="center" wrapText="1"/>
    </xf>
    <xf numFmtId="0" fontId="19" fillId="0" borderId="0" xfId="0" applyFont="1" applyAlignment="1">
      <alignment vertical="bottom"/>
    </xf>
    <xf numFmtId="0" fontId="20" fillId="10" borderId="0" xfId="0" applyFont="1" applyFill="1" applyAlignment="1">
      <alignment horizontal="left" vertical="center"/>
    </xf>
    <xf numFmtId="0" fontId="4" fillId="11" borderId="0" xfId="0" applyFont="1" applyFill="1" applyAlignment="1">
      <alignment horizontal="left" vertical="center"/>
    </xf>
    <xf numFmtId="0" fontId="7" fillId="11" borderId="1" xfId="0" applyFont="1" applyFill="1" applyBorder="1" applyAlignment="1">
      <alignment horizontal="center" vertical="center" wrapText="1"/>
    </xf>
    <xf numFmtId="0" fontId="7" fillId="11" borderId="2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left" vertical="center"/>
    </xf>
    <xf numFmtId="0" fontId="21" fillId="12" borderId="1" xfId="0" applyFont="1" applyFill="1" applyBorder="1" applyAlignment="1">
      <alignment horizontal="center" vertical="center" wrapText="1"/>
    </xf>
    <xf numFmtId="0" fontId="22" fillId="12" borderId="2" xfId="0" applyFont="1" applyFill="1" applyBorder="1" applyAlignment="1">
      <alignment horizontal="left" vertical="center"/>
    </xf>
    <xf numFmtId="0" fontId="23" fillId="12" borderId="1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left" vertical="center"/>
    </xf>
    <xf numFmtId="0" fontId="25" fillId="12" borderId="1" xfId="0" applyFont="1" applyFill="1" applyBorder="1" applyAlignment="1">
      <alignment vertical="bottom"/>
    </xf>
    <xf numFmtId="0" fontId="21" fillId="8" borderId="1" xfId="0" applyFont="1" applyFill="1" applyBorder="1" applyAlignment="1">
      <alignment horizontal="center" vertical="center" wrapText="1"/>
    </xf>
    <xf numFmtId="0" fontId="22" fillId="8" borderId="2" xfId="0" applyFont="1" applyFill="1" applyBorder="1" applyAlignment="1">
      <alignment horizontal="left" vertical="center"/>
    </xf>
    <xf numFmtId="0" fontId="23" fillId="8" borderId="1" xfId="0" applyFont="1" applyFill="1" applyBorder="1" applyAlignment="1">
      <alignment horizontal="center" vertical="center"/>
    </xf>
    <xf numFmtId="0" fontId="24" fillId="8" borderId="2" xfId="0" applyFont="1" applyFill="1" applyBorder="1" applyAlignment="1">
      <alignment horizontal="left" vertical="center"/>
    </xf>
    <xf numFmtId="0" fontId="25" fillId="8" borderId="1" xfId="0" applyFont="1" applyFill="1" applyBorder="1" applyAlignment="1">
      <alignment vertical="bottom"/>
    </xf>
    <xf numFmtId="0" fontId="26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27" fillId="15" borderId="0" xfId="0" applyFont="1" applyFill="1" applyAlignment="1">
      <alignment horizontal="left" vertical="center"/>
    </xf>
    <xf numFmtId="0" fontId="4" fillId="14" borderId="0" xfId="0" applyFont="1" applyFill="1" applyAlignment="1">
      <alignment horizontal="left" vertical="center"/>
    </xf>
    <xf numFmtId="0" fontId="5" fillId="14" borderId="1" xfId="0" applyFont="1" applyFill="1" applyBorder="1" applyAlignment="1">
      <alignment horizontal="left" vertical="center"/>
    </xf>
    <xf numFmtId="0" fontId="6" fillId="14" borderId="2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29" fillId="13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left" vertical="center" wrapText="1"/>
    </xf>
    <xf numFmtId="0" fontId="28" fillId="8" borderId="1" xfId="0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left" vertical="center" wrapText="1"/>
    </xf>
    <xf numFmtId="0" fontId="4" fillId="16" borderId="0" xfId="0" applyFont="1" applyFill="1" applyAlignment="1">
      <alignment horizontal="left" vertical="center"/>
    </xf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21" fillId="17" borderId="1" xfId="0" applyFont="1" applyFill="1" applyBorder="1" applyAlignment="1">
      <alignment horizontal="center" vertical="center" wrapText="1"/>
    </xf>
    <xf numFmtId="0" fontId="22" fillId="17" borderId="2" xfId="0" applyFont="1" applyFill="1" applyBorder="1" applyAlignment="1">
      <alignment horizontal="left" vertical="center"/>
    </xf>
    <xf numFmtId="0" fontId="30" fillId="17" borderId="1" xfId="0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0" fontId="25" fillId="17" borderId="1" xfId="0" applyFont="1" applyFill="1" applyBorder="1" applyAlignment="1">
      <alignment vertical="bottom"/>
    </xf>
    <xf numFmtId="0" fontId="30" fillId="8" borderId="1" xfId="0" applyFont="1" applyFill="1" applyBorder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31" fillId="19" borderId="0" xfId="0" applyFont="1" applyFill="1" applyAlignment="1">
      <alignment horizontal="left" vertical="center"/>
    </xf>
    <xf numFmtId="0" fontId="4" fillId="18" borderId="0" xfId="0" applyFont="1" applyFill="1" applyAlignment="1">
      <alignment horizontal="left" vertical="center"/>
    </xf>
    <xf numFmtId="0" fontId="5" fillId="18" borderId="1" xfId="0" applyFont="1" applyFill="1" applyBorder="1" applyAlignment="1">
      <alignment horizontal="left" vertical="center"/>
    </xf>
    <xf numFmtId="0" fontId="6" fillId="18" borderId="2" xfId="0" applyFont="1" applyFill="1" applyBorder="1" applyAlignment="1">
      <alignment horizontal="center" vertical="center"/>
    </xf>
    <xf numFmtId="0" fontId="7" fillId="18" borderId="1" xfId="0" applyFont="1" applyFill="1" applyBorder="1" applyAlignment="1">
      <alignment horizontal="center" vertical="center" wrapText="1"/>
    </xf>
    <xf numFmtId="0" fontId="32" fillId="13" borderId="1" xfId="0" applyFont="1" applyFill="1" applyBorder="1" applyAlignment="1">
      <alignment horizontal="center" vertical="center"/>
    </xf>
    <xf numFmtId="0" fontId="9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 wrapText="1"/>
    </xf>
    <xf numFmtId="0" fontId="18" fillId="13" borderId="1" xfId="0" applyFont="1" applyFill="1" applyBorder="1" applyAlignment="1">
      <alignment horizontal="left" vertical="center" wrapText="1"/>
    </xf>
    <xf numFmtId="0" fontId="32" fillId="8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left" vertical="center" wrapText="1"/>
    </xf>
    <xf numFmtId="0" fontId="4" fillId="20" borderId="0" xfId="0" applyFont="1" applyFill="1" applyAlignment="1">
      <alignment horizontal="left" vertical="center"/>
    </xf>
    <xf numFmtId="0" fontId="7" fillId="20" borderId="1" xfId="0" applyFont="1" applyFill="1" applyBorder="1" applyAlignment="1">
      <alignment horizontal="center" vertical="center" wrapText="1"/>
    </xf>
    <xf numFmtId="0" fontId="7" fillId="20" borderId="2" xfId="0" applyFont="1" applyFill="1" applyBorder="1" applyAlignment="1">
      <alignment horizontal="center" vertical="center" wrapText="1"/>
    </xf>
    <xf numFmtId="0" fontId="5" fillId="20" borderId="1" xfId="0" applyFont="1" applyFill="1" applyBorder="1" applyAlignment="1">
      <alignment horizontal="left" vertical="center"/>
    </xf>
    <xf numFmtId="0" fontId="21" fillId="21" borderId="1" xfId="0" applyFont="1" applyFill="1" applyBorder="1" applyAlignment="1">
      <alignment horizontal="center" vertical="center" wrapText="1"/>
    </xf>
    <xf numFmtId="0" fontId="22" fillId="21" borderId="2" xfId="0" applyFont="1" applyFill="1" applyBorder="1" applyAlignment="1">
      <alignment horizontal="left" vertical="center"/>
    </xf>
    <xf numFmtId="0" fontId="33" fillId="21" borderId="1" xfId="0" applyFont="1" applyFill="1" applyBorder="1" applyAlignment="1">
      <alignment horizontal="center" vertical="center"/>
    </xf>
    <xf numFmtId="0" fontId="24" fillId="21" borderId="2" xfId="0" applyFont="1" applyFill="1" applyBorder="1" applyAlignment="1">
      <alignment horizontal="left" vertical="center"/>
    </xf>
    <xf numFmtId="0" fontId="25" fillId="21" borderId="1" xfId="0" applyFont="1" applyFill="1" applyBorder="1" applyAlignment="1">
      <alignment vertical="bottom"/>
    </xf>
    <xf numFmtId="0" fontId="33" fillId="8" borderId="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defaultTableStyle="TableStyleMedium2" defaultPivotStyle="PivotStyleLight16"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www.wps.cn/officeDocument/2020/cellImage" Target="cellimages.xml"/><Relationship Id="rId5" Type="http://schemas.openxmlformats.org/officeDocument/2006/relationships/sharedStrings" Target="sharedStrings.xml"/><Relationship Id="rId6" Type="http://schemas.openxmlformats.org/officeDocument/2006/relationships/styles" Target="styles.xml"/><Relationship Id="rId7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A1:Z1000"/>
  <sheetViews>
    <sheetView tabSelected="1" workbookViewId="0" topLeftCell="O8">
      <selection activeCell="Q12" sqref="Q12"/>
    </sheetView>
  </sheetViews>
  <sheetFormatPr defaultRowHeight="15.0" customHeight="1" defaultColWidth="14"/>
  <cols>
    <col min="1" max="1" customWidth="1" width="15.5703125" style="0"/>
    <col min="2" max="2" customWidth="1" width="33.85547" style="0"/>
    <col min="3" max="3" customWidth="1" width="5.8554688" style="0"/>
    <col min="4" max="4" customWidth="1" width="6.7109375" style="0"/>
    <col min="5" max="5" customWidth="1" width="22.140625" style="0"/>
    <col min="6" max="6" customWidth="1" width="13.855469" style="0"/>
    <col min="7" max="7" customWidth="1" width="6.140625" style="0"/>
    <col min="8" max="8" customWidth="1" width="5.5703125" style="0"/>
    <col min="9" max="9" customWidth="1" width="20.0" style="0"/>
    <col min="10" max="10" customWidth="1" width="6.140625" style="0"/>
    <col min="11" max="11" customWidth="1" width="5.5703125" style="0"/>
    <col min="12" max="12" customWidth="1" width="20.0" style="0"/>
    <col min="13" max="13" customWidth="1" width="6.140625" style="0"/>
    <col min="14" max="14" customWidth="1" width="5.5703125" style="0"/>
    <col min="15" max="15" customWidth="1" width="20.0" style="0"/>
    <col min="16" max="16" customWidth="1" width="6.140625" style="0"/>
    <col min="17" max="17" customWidth="1" width="5.5703125" style="0"/>
    <col min="18" max="18" customWidth="1" width="17.855469" style="0"/>
    <col min="19" max="19" customWidth="1" width="19.140625" style="0"/>
    <col min="20" max="20" customWidth="1" width="28.140625" style="0"/>
    <col min="21" max="26" customWidth="1" width="8.7109375" style="0"/>
  </cols>
  <sheetData>
    <row r="1" spans="8:8" ht="27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8:8" ht="18.0" customHeight="1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8:8" ht="7.5" customHeight="1"/>
    <row r="4" spans="8:8" ht="7.5" customHeight="1"/>
    <row r="5" spans="8:8" ht="19.5" customHeight="1">
      <c r="A5" s="4" t="s">
        <v>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8:8" ht="15.75" customHeight="1">
      <c r="A6" s="5"/>
      <c r="B6" s="5"/>
      <c r="C6" s="5"/>
      <c r="D6" s="5"/>
      <c r="E6" s="5"/>
      <c r="F6" s="5"/>
      <c r="G6" s="6" t="s">
        <v>3</v>
      </c>
      <c r="H6" s="7"/>
      <c r="I6" s="8"/>
      <c r="J6" s="6" t="s">
        <v>4</v>
      </c>
      <c r="K6" s="7"/>
      <c r="L6" s="8"/>
      <c r="M6" s="6" t="s">
        <v>5</v>
      </c>
      <c r="N6" s="7"/>
      <c r="O6" s="8"/>
      <c r="P6" s="6" t="s">
        <v>6</v>
      </c>
      <c r="Q6" s="7"/>
      <c r="R6" s="8"/>
      <c r="S6" s="5"/>
      <c r="T6" s="5"/>
    </row>
    <row r="7" spans="8:8" ht="37.5" customHeight="1">
      <c r="A7" s="9" t="s">
        <v>7</v>
      </c>
      <c r="B7" s="9" t="s">
        <v>8</v>
      </c>
      <c r="C7" s="9" t="s">
        <v>9</v>
      </c>
      <c r="D7" s="9" t="s">
        <v>10</v>
      </c>
      <c r="E7" s="9" t="s">
        <v>11</v>
      </c>
      <c r="F7" s="9" t="s">
        <v>12</v>
      </c>
      <c r="G7" s="9" t="s">
        <v>13</v>
      </c>
      <c r="H7" s="9" t="s">
        <v>14</v>
      </c>
      <c r="I7" s="9" t="s">
        <v>15</v>
      </c>
      <c r="J7" s="9" t="s">
        <v>13</v>
      </c>
      <c r="K7" s="9" t="s">
        <v>14</v>
      </c>
      <c r="L7" s="9" t="s">
        <v>15</v>
      </c>
      <c r="M7" s="9" t="s">
        <v>13</v>
      </c>
      <c r="N7" s="9" t="s">
        <v>14</v>
      </c>
      <c r="O7" s="9" t="s">
        <v>15</v>
      </c>
      <c r="P7" s="9" t="s">
        <v>13</v>
      </c>
      <c r="Q7" s="9" t="s">
        <v>14</v>
      </c>
      <c r="R7" s="9" t="s">
        <v>15</v>
      </c>
      <c r="S7" s="9" t="s">
        <v>16</v>
      </c>
      <c r="T7" s="9" t="s">
        <v>17</v>
      </c>
    </row>
    <row r="8" spans="8:8" ht="36.0" customHeight="1">
      <c r="A8" s="10">
        <v>1.0</v>
      </c>
      <c r="B8" s="11" t="s">
        <v>18</v>
      </c>
      <c r="C8" s="12">
        <v>4.0</v>
      </c>
      <c r="D8" s="12" t="s">
        <v>19</v>
      </c>
      <c r="E8" s="13">
        <v>60.0</v>
      </c>
      <c r="F8" s="14" t="s">
        <v>20</v>
      </c>
      <c r="G8" s="12">
        <v>60.0</v>
      </c>
      <c r="H8" s="12">
        <v>8.0</v>
      </c>
      <c r="I8" s="15" t="s">
        <v>21</v>
      </c>
      <c r="J8" s="12">
        <v>65.0</v>
      </c>
      <c r="K8" s="12">
        <v>8.0</v>
      </c>
      <c r="L8" s="16" t="s">
        <v>22</v>
      </c>
      <c r="M8" s="12">
        <v>70.0</v>
      </c>
      <c r="N8" s="12">
        <v>8.0</v>
      </c>
      <c r="O8" s="17" t="s">
        <v>23</v>
      </c>
      <c r="P8" s="12">
        <v>75.0</v>
      </c>
      <c r="Q8" s="12">
        <v>9.0</v>
      </c>
      <c r="R8" s="18" t="s">
        <v>158</v>
      </c>
      <c r="S8" s="12" t="str">
        <f>IF(Q8="","–",IF(ISNUMBER(Q8),IF(Q8&gt;8,"✓ TAK – dodaj 2,5 kg","✗ NIE – zostań z ciężarem"),"–"))</f>
        <v>✓ TAK – dodaj 2,5 kg</v>
      </c>
      <c r="T8" s="19" t="s">
        <v>24</v>
      </c>
    </row>
    <row r="9" spans="8:8" ht="36.0" customHeight="1">
      <c r="A9" s="20">
        <v>2.0</v>
      </c>
      <c r="B9" s="21" t="s">
        <v>25</v>
      </c>
      <c r="C9" s="22">
        <v>3.0</v>
      </c>
      <c r="D9" s="22" t="s">
        <v>26</v>
      </c>
      <c r="E9" s="23" t="s">
        <v>27</v>
      </c>
      <c r="F9" s="14" t="s">
        <v>20</v>
      </c>
      <c r="G9" s="22" t="s">
        <v>28</v>
      </c>
      <c r="H9" s="22">
        <v>9.0</v>
      </c>
      <c r="I9" s="16" t="s">
        <v>29</v>
      </c>
      <c r="J9" s="22" t="s">
        <v>28</v>
      </c>
      <c r="K9" s="22">
        <v>9.0</v>
      </c>
      <c r="L9" s="17" t="s">
        <v>30</v>
      </c>
      <c r="M9" s="22" t="s">
        <v>28</v>
      </c>
      <c r="N9" s="22">
        <v>9.0</v>
      </c>
      <c r="O9" s="18" t="s">
        <v>159</v>
      </c>
      <c r="P9" s="24"/>
      <c r="Q9" s="24"/>
      <c r="R9" s="24"/>
      <c r="S9" s="22" t="str">
        <f>IF(N9="","–",IF(ISNUMBER(N9),IF(N9&gt;10,"✓ TAK – dodaj 2,5 kg","✗ NIE – zostań z ciężarem"),"–"))</f>
        <v>✗ NIE – zostań z ciężarem</v>
      </c>
      <c r="T9" s="25" t="s">
        <v>31</v>
      </c>
    </row>
    <row r="10" spans="8:8" ht="36.0" customHeight="1">
      <c r="A10" s="10">
        <v>3.0</v>
      </c>
      <c r="B10" s="11" t="s">
        <v>32</v>
      </c>
      <c r="C10" s="12">
        <v>4.0</v>
      </c>
      <c r="D10" s="12" t="s">
        <v>33</v>
      </c>
      <c r="E10" s="13" t="s">
        <v>34</v>
      </c>
      <c r="F10" s="14" t="s">
        <v>20</v>
      </c>
      <c r="G10" s="12">
        <v>30.0</v>
      </c>
      <c r="H10" s="12">
        <v>10.0</v>
      </c>
      <c r="I10" s="15" t="s">
        <v>35</v>
      </c>
      <c r="J10" s="12">
        <v>35.0</v>
      </c>
      <c r="K10" s="12">
        <v>10.0</v>
      </c>
      <c r="L10" s="16" t="s">
        <v>36</v>
      </c>
      <c r="M10" s="12">
        <v>40.0</v>
      </c>
      <c r="N10" s="12">
        <v>9.0</v>
      </c>
      <c r="O10" s="17" t="s">
        <v>30</v>
      </c>
      <c r="P10" s="12">
        <v>45.0</v>
      </c>
      <c r="Q10" s="12">
        <v>7.0</v>
      </c>
      <c r="R10" s="18" t="s">
        <v>158</v>
      </c>
      <c r="S10" s="12" t="str">
        <f>IF(Q10="","–",IF(ISNUMBER(Q10),IF(Q10&gt;10,"✓ TAK – dodaj 2,5 kg","✗ NIE – zostań z ciężarem"),"–"))</f>
        <v>✗ NIE – zostań z ciężarem</v>
      </c>
      <c r="T10" s="26"/>
    </row>
    <row r="11" spans="8:8" ht="36.0" customHeight="1">
      <c r="A11" s="20">
        <v>4.0</v>
      </c>
      <c r="B11" s="21" t="s">
        <v>37</v>
      </c>
      <c r="C11" s="22">
        <v>3.0</v>
      </c>
      <c r="D11" s="22" t="s">
        <v>38</v>
      </c>
      <c r="E11" s="23">
        <v>6.0</v>
      </c>
      <c r="F11" s="14" t="s">
        <v>20</v>
      </c>
      <c r="G11" s="22">
        <v>5.0</v>
      </c>
      <c r="H11" s="22">
        <v>15.0</v>
      </c>
      <c r="I11" s="16" t="s">
        <v>39</v>
      </c>
      <c r="J11" s="22">
        <v>6.0</v>
      </c>
      <c r="K11" s="22">
        <v>15.0</v>
      </c>
      <c r="L11" s="17" t="s">
        <v>40</v>
      </c>
      <c r="M11" s="22" t="s">
        <v>160</v>
      </c>
      <c r="N11" s="22">
        <v>13.0</v>
      </c>
      <c r="O11" s="18" t="s">
        <v>41</v>
      </c>
      <c r="P11" s="24"/>
      <c r="Q11" s="24"/>
      <c r="R11" s="24"/>
      <c r="S11" s="22" t="str">
        <f>IF(N11="","–",IF(ISNUMBER(N11),IF(N11&gt;15,"✓ TAK – dodaj 2,5 kg","✗ NIE – zostań z ciężarem"),"–"))</f>
        <v>✗ NIE – zostań z ciężarem</v>
      </c>
      <c r="T11" s="25" t="s">
        <v>42</v>
      </c>
    </row>
    <row r="12" spans="8:8" ht="36.0" customHeight="1">
      <c r="A12" s="10">
        <v>5.0</v>
      </c>
      <c r="B12" s="11" t="s">
        <v>43</v>
      </c>
      <c r="C12" s="12">
        <v>4.0</v>
      </c>
      <c r="D12" s="12" t="s">
        <v>44</v>
      </c>
      <c r="E12" s="13" t="s">
        <v>45</v>
      </c>
      <c r="F12" s="14" t="s">
        <v>20</v>
      </c>
      <c r="G12" s="12">
        <v>-12.5</v>
      </c>
      <c r="H12" s="12">
        <v>12.0</v>
      </c>
      <c r="I12" s="15" t="s">
        <v>46</v>
      </c>
      <c r="J12" s="12">
        <v>-9.4</v>
      </c>
      <c r="K12" s="12">
        <v>10.0</v>
      </c>
      <c r="L12" s="16" t="s">
        <v>29</v>
      </c>
      <c r="M12" s="12">
        <v>-6.25</v>
      </c>
      <c r="N12" s="12">
        <v>9.0</v>
      </c>
      <c r="O12" s="17" t="s">
        <v>47</v>
      </c>
      <c r="P12" s="12" t="s">
        <v>48</v>
      </c>
      <c r="Q12" s="12">
        <v>8.0</v>
      </c>
      <c r="R12" s="18" t="s">
        <v>41</v>
      </c>
      <c r="S12" s="12" t="str">
        <f>IF(Q12="","–",IF(ISNUMBER(Q12),IF(Q12&gt;12,"✓ TAK – dodaj 2,5 kg","✗ NIE – zostań z ciężarem"),"–"))</f>
        <v>✗ NIE – zostań z ciężarem</v>
      </c>
      <c r="T12" s="19" t="s">
        <v>49</v>
      </c>
      <c r="X12" s="27">
        <v>34.0</v>
      </c>
    </row>
    <row r="13" spans="8:8" ht="15.75" customHeight="1">
      <c r="A13" s="28" t="s">
        <v>50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5" spans="8:8" ht="21.75" customHeight="1">
      <c r="A15" s="29" t="s">
        <v>51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</row>
    <row r="16" spans="8:8" ht="27.75" customHeight="1">
      <c r="A16" s="30" t="s">
        <v>52</v>
      </c>
      <c r="B16" s="31" t="s">
        <v>53</v>
      </c>
      <c r="C16" s="7"/>
      <c r="D16" s="7"/>
      <c r="E16" s="8"/>
      <c r="F16" s="30" t="s">
        <v>54</v>
      </c>
      <c r="G16" s="31" t="s">
        <v>55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/>
      <c r="T16" s="32"/>
    </row>
    <row r="17" spans="8:8" ht="24.0" customHeight="1">
      <c r="A17" s="33" t="s">
        <v>56</v>
      </c>
      <c r="B17" s="34" t="s">
        <v>57</v>
      </c>
      <c r="C17" s="7"/>
      <c r="D17" s="7"/>
      <c r="E17" s="8"/>
      <c r="F17" s="35" t="s">
        <v>58</v>
      </c>
      <c r="G17" s="36" t="s">
        <v>59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/>
      <c r="T17" s="37"/>
    </row>
    <row r="18" spans="8:8" ht="24.0" customHeight="1">
      <c r="A18" s="38" t="s">
        <v>56</v>
      </c>
      <c r="B18" s="39" t="s">
        <v>60</v>
      </c>
      <c r="C18" s="7"/>
      <c r="D18" s="7"/>
      <c r="E18" s="8"/>
      <c r="F18" s="40" t="s">
        <v>61</v>
      </c>
      <c r="G18" s="41" t="s">
        <v>62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/>
      <c r="T18" s="42"/>
    </row>
    <row r="19" spans="8:8" ht="24.0" customHeight="1">
      <c r="A19" s="33" t="s">
        <v>63</v>
      </c>
      <c r="B19" s="34" t="s">
        <v>64</v>
      </c>
      <c r="C19" s="7"/>
      <c r="D19" s="7"/>
      <c r="E19" s="8"/>
      <c r="F19" s="35" t="s">
        <v>65</v>
      </c>
      <c r="G19" s="36" t="s">
        <v>66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/>
      <c r="T19" s="37"/>
    </row>
    <row r="20" spans="8:8" ht="24.0" customHeight="1">
      <c r="A20" s="38" t="s">
        <v>63</v>
      </c>
      <c r="B20" s="39" t="s">
        <v>67</v>
      </c>
      <c r="C20" s="7"/>
      <c r="D20" s="7"/>
      <c r="E20" s="8"/>
      <c r="F20" s="40" t="s">
        <v>65</v>
      </c>
      <c r="G20" s="41" t="s">
        <v>68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/>
      <c r="T20" s="42"/>
    </row>
    <row r="21" spans="8:8" ht="24.0" customHeight="1">
      <c r="A21" s="33" t="s">
        <v>69</v>
      </c>
      <c r="B21" s="34" t="s">
        <v>70</v>
      </c>
      <c r="C21" s="7"/>
      <c r="D21" s="7"/>
      <c r="E21" s="8"/>
      <c r="F21" s="35" t="s">
        <v>65</v>
      </c>
      <c r="G21" s="36" t="s">
        <v>71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8"/>
      <c r="T21" s="37"/>
    </row>
    <row r="22" spans="8:8" ht="18.0" customHeight="1">
      <c r="A22" s="43" t="s">
        <v>72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</row>
    <row r="23" spans="8:8" ht="15.75" customHeight="1"/>
    <row r="24" spans="8:8" ht="15.75" customHeight="1"/>
    <row r="25" spans="8:8" ht="15.75" customHeight="1"/>
    <row r="26" spans="8:8" ht="15.75" customHeight="1"/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mergeCells count="22">
    <mergeCell ref="A22:T22"/>
    <mergeCell ref="G16:S16"/>
    <mergeCell ref="M6:O6"/>
    <mergeCell ref="J6:L6"/>
    <mergeCell ref="G6:I6"/>
    <mergeCell ref="A1:T1"/>
    <mergeCell ref="A2:T2"/>
    <mergeCell ref="A5:T5"/>
    <mergeCell ref="P6:R6"/>
    <mergeCell ref="A13:T13"/>
    <mergeCell ref="G21:S21"/>
    <mergeCell ref="B16:E16"/>
    <mergeCell ref="G19:S19"/>
    <mergeCell ref="B21:E21"/>
    <mergeCell ref="B20:E20"/>
    <mergeCell ref="G20:S20"/>
    <mergeCell ref="B17:E17"/>
    <mergeCell ref="B18:E18"/>
    <mergeCell ref="G18:S18"/>
    <mergeCell ref="G17:S17"/>
    <mergeCell ref="B19:E19"/>
    <mergeCell ref="A15:T15"/>
  </mergeCells>
  <pageMargins left="0.75" right="0.75" top="1.0" bottom="1.0" header="0.0" footer="0.0"/>
  <pageSetup paperSize="9" fitToWidth="0" fitToHeight="0" orientation="landscape"/>
  <headerFooter>
    <oddFooter>&amp;C_x000D_#000000 DSV internal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V1000"/>
  <sheetViews>
    <sheetView workbookViewId="0">
      <selection activeCell="A1" sqref="A1:T1"/>
    </sheetView>
  </sheetViews>
  <sheetFormatPr defaultRowHeight="15.0" customHeight="1" defaultColWidth="14"/>
  <cols>
    <col min="1" max="1" customWidth="1" width="13.140625" style="0"/>
    <col min="2" max="2" customWidth="1" width="24.0" style="0"/>
    <col min="3" max="3" customWidth="1" width="5.8554688" style="0"/>
    <col min="4" max="4" customWidth="1" width="6.7109375" style="0"/>
    <col min="5" max="6" customWidth="1" width="13.855469" style="0"/>
    <col min="7" max="7" customWidth="1" width="6.140625" style="0"/>
    <col min="8" max="8" customWidth="1" width="5.5703125" style="0"/>
    <col min="9" max="9" customWidth="1" width="19.0" style="0"/>
    <col min="10" max="10" customWidth="1" width="6.140625" style="0"/>
    <col min="11" max="11" customWidth="1" width="5.5703125" style="0"/>
    <col min="12" max="12" customWidth="1" width="19.0" style="0"/>
    <col min="13" max="13" customWidth="1" width="6.140625" style="0"/>
    <col min="14" max="14" customWidth="1" width="5.5703125" style="0"/>
    <col min="15" max="15" customWidth="1" width="20.0" style="0"/>
    <col min="16" max="16" customWidth="1" width="6.140625" style="0"/>
    <col min="17" max="17" customWidth="1" width="5.5703125" style="0"/>
    <col min="18" max="18" customWidth="1" width="18.0" style="0"/>
    <col min="19" max="19" customWidth="1" width="15.7109375" style="0"/>
    <col min="20" max="20" customWidth="1" width="22.710938" style="0"/>
    <col min="21" max="26" customWidth="1" width="8.7109375" style="0"/>
  </cols>
  <sheetData>
    <row r="1" spans="8:8" ht="27.75" customHeight="1">
      <c r="A1" s="44" t="s">
        <v>73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8:8" ht="18.0" customHeight="1">
      <c r="A2" s="45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8:8" ht="7.5" customHeight="1"/>
    <row r="4" spans="8:8" ht="7.5" customHeight="1"/>
    <row r="5" spans="8:8" ht="19.5" customHeight="1">
      <c r="A5" s="46" t="s">
        <v>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8:8" ht="15.75" customHeight="1">
      <c r="A6" s="47"/>
      <c r="B6" s="47"/>
      <c r="C6" s="47"/>
      <c r="D6" s="47"/>
      <c r="E6" s="47"/>
      <c r="F6" s="47"/>
      <c r="G6" s="48" t="s">
        <v>3</v>
      </c>
      <c r="H6" s="7"/>
      <c r="I6" s="8"/>
      <c r="J6" s="48" t="s">
        <v>4</v>
      </c>
      <c r="K6" s="7"/>
      <c r="L6" s="8"/>
      <c r="M6" s="48" t="s">
        <v>5</v>
      </c>
      <c r="N6" s="7"/>
      <c r="O6" s="8"/>
      <c r="P6" s="48" t="s">
        <v>6</v>
      </c>
      <c r="Q6" s="7"/>
      <c r="R6" s="8"/>
      <c r="S6" s="47"/>
      <c r="T6" s="47"/>
    </row>
    <row r="7" spans="8:8" ht="37.5" customHeight="1">
      <c r="A7" s="49" t="s">
        <v>7</v>
      </c>
      <c r="B7" s="49" t="s">
        <v>8</v>
      </c>
      <c r="C7" s="49" t="s">
        <v>9</v>
      </c>
      <c r="D7" s="49" t="s">
        <v>10</v>
      </c>
      <c r="E7" s="49" t="s">
        <v>11</v>
      </c>
      <c r="F7" s="49" t="s">
        <v>12</v>
      </c>
      <c r="G7" s="49" t="s">
        <v>13</v>
      </c>
      <c r="H7" s="49" t="s">
        <v>14</v>
      </c>
      <c r="I7" s="49" t="s">
        <v>15</v>
      </c>
      <c r="J7" s="49" t="s">
        <v>13</v>
      </c>
      <c r="K7" s="49" t="s">
        <v>14</v>
      </c>
      <c r="L7" s="49" t="s">
        <v>15</v>
      </c>
      <c r="M7" s="49" t="s">
        <v>13</v>
      </c>
      <c r="N7" s="49" t="s">
        <v>14</v>
      </c>
      <c r="O7" s="49" t="s">
        <v>15</v>
      </c>
      <c r="P7" s="49" t="s">
        <v>13</v>
      </c>
      <c r="Q7" s="49" t="s">
        <v>14</v>
      </c>
      <c r="R7" s="49" t="s">
        <v>15</v>
      </c>
      <c r="S7" s="49" t="s">
        <v>16</v>
      </c>
      <c r="T7" s="49" t="s">
        <v>17</v>
      </c>
    </row>
    <row r="8" spans="8:8" ht="36.0" customHeight="1">
      <c r="A8" s="50">
        <v>1.0</v>
      </c>
      <c r="B8" s="51" t="s">
        <v>74</v>
      </c>
      <c r="C8" s="52">
        <v>4.0</v>
      </c>
      <c r="D8" s="52" t="s">
        <v>75</v>
      </c>
      <c r="E8" s="53">
        <v>100.0</v>
      </c>
      <c r="F8" s="54" t="s">
        <v>76</v>
      </c>
      <c r="G8" s="52"/>
      <c r="H8" s="52"/>
      <c r="I8" s="15" t="s">
        <v>77</v>
      </c>
      <c r="J8" s="52"/>
      <c r="K8" s="52"/>
      <c r="L8" s="16" t="s">
        <v>78</v>
      </c>
      <c r="M8" s="52"/>
      <c r="N8" s="52"/>
      <c r="O8" s="17" t="s">
        <v>79</v>
      </c>
      <c r="P8" s="52"/>
      <c r="Q8" s="52"/>
      <c r="R8" s="17" t="s">
        <v>80</v>
      </c>
      <c r="S8" s="52" t="str">
        <f>IF(Q8="","–",IF(ISNUMBER(Q8),IF(Q8&gt;6,"✓ TAK – dodaj 2,5 kg","✗ NIE – zostań z ciężarem"),"–"))</f>
        <v>–</v>
      </c>
      <c r="T8" s="55"/>
    </row>
    <row r="9" spans="8:8" ht="36.0" customHeight="1">
      <c r="A9" s="56">
        <v>2.0</v>
      </c>
      <c r="B9" s="21" t="s">
        <v>81</v>
      </c>
      <c r="C9" s="22">
        <v>4.0</v>
      </c>
      <c r="D9" s="22" t="s">
        <v>19</v>
      </c>
      <c r="E9" s="23" t="s">
        <v>82</v>
      </c>
      <c r="F9" s="14" t="s">
        <v>20</v>
      </c>
      <c r="G9" s="22"/>
      <c r="H9" s="22"/>
      <c r="I9" s="16" t="s">
        <v>83</v>
      </c>
      <c r="J9" s="22"/>
      <c r="K9" s="22"/>
      <c r="L9" s="17" t="s">
        <v>84</v>
      </c>
      <c r="M9" s="22"/>
      <c r="N9" s="22"/>
      <c r="O9" s="17" t="s">
        <v>84</v>
      </c>
      <c r="P9" s="22"/>
      <c r="Q9" s="22"/>
      <c r="R9" s="18" t="s">
        <v>41</v>
      </c>
      <c r="S9" s="22" t="str">
        <f>IF(Q9="","–",IF(ISNUMBER(Q9),IF(Q9&gt;8,"✓ TAK – dodaj 2,5 kg","✗ NIE – zostań z ciężarem"),"–"))</f>
        <v>–</v>
      </c>
      <c r="T9" s="25" t="s">
        <v>85</v>
      </c>
    </row>
    <row r="10" spans="8:8" ht="36.0" customHeight="1">
      <c r="A10" s="50">
        <v>3.0</v>
      </c>
      <c r="B10" s="51" t="s">
        <v>86</v>
      </c>
      <c r="C10" s="52">
        <v>4.0</v>
      </c>
      <c r="D10" s="52" t="s">
        <v>87</v>
      </c>
      <c r="E10" s="53">
        <v>60.0</v>
      </c>
      <c r="F10" s="14" t="s">
        <v>20</v>
      </c>
      <c r="G10" s="52"/>
      <c r="H10" s="52"/>
      <c r="I10" s="16" t="s">
        <v>29</v>
      </c>
      <c r="J10" s="52"/>
      <c r="K10" s="52"/>
      <c r="L10" s="17" t="s">
        <v>47</v>
      </c>
      <c r="M10" s="52"/>
      <c r="N10" s="52"/>
      <c r="O10" s="17" t="s">
        <v>79</v>
      </c>
      <c r="P10" s="52"/>
      <c r="Q10" s="52"/>
      <c r="R10" s="18" t="s">
        <v>41</v>
      </c>
      <c r="S10" s="52" t="str">
        <f>IF(Q10="","–",IF(ISNUMBER(Q10),IF(Q10&gt;6,"✓ TAK – dodaj 2,5 kg","✗ NIE – zostań z ciężarem"),"–"))</f>
        <v>–</v>
      </c>
      <c r="T10" s="55"/>
    </row>
    <row r="11" spans="8:8" ht="36.0" customHeight="1">
      <c r="A11" s="56">
        <v>4.0</v>
      </c>
      <c r="B11" s="21" t="s">
        <v>88</v>
      </c>
      <c r="C11" s="22">
        <v>3.0</v>
      </c>
      <c r="D11" s="22" t="s">
        <v>89</v>
      </c>
      <c r="E11" s="23" t="s">
        <v>90</v>
      </c>
      <c r="F11" s="14" t="s">
        <v>20</v>
      </c>
      <c r="G11" s="22"/>
      <c r="H11" s="22"/>
      <c r="I11" s="16" t="s">
        <v>29</v>
      </c>
      <c r="J11" s="22"/>
      <c r="K11" s="22"/>
      <c r="L11" s="17" t="s">
        <v>47</v>
      </c>
      <c r="M11" s="22"/>
      <c r="N11" s="22"/>
      <c r="O11" s="18" t="s">
        <v>41</v>
      </c>
      <c r="P11" s="24"/>
      <c r="Q11" s="24"/>
      <c r="R11" s="24"/>
      <c r="S11" s="52" t="str">
        <f>IF(N11="","–",IF(ISNUMBER(N11),IF(N11&gt;12,"✓ TAK – dodaj 2,5 kg","✗ NIE – zostań z ciężarem"),"–"))</f>
        <v>–</v>
      </c>
      <c r="T11" s="57" t="s">
        <v>91</v>
      </c>
    </row>
    <row r="12" spans="8:8" ht="15.75" customHeight="1">
      <c r="A12" s="28" t="s">
        <v>50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</row>
    <row r="14" spans="8:8" ht="21.75" customHeight="1">
      <c r="A14" s="58" t="s">
        <v>92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</row>
    <row r="15" spans="8:8" ht="27.75" customHeight="1">
      <c r="A15" s="59" t="s">
        <v>52</v>
      </c>
      <c r="B15" s="60" t="s">
        <v>53</v>
      </c>
      <c r="C15" s="7"/>
      <c r="D15" s="7"/>
      <c r="E15" s="8"/>
      <c r="F15" s="59" t="s">
        <v>54</v>
      </c>
      <c r="G15" s="60" t="s">
        <v>55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/>
      <c r="T15" s="61"/>
    </row>
    <row r="16" spans="8:8" ht="24.0" customHeight="1">
      <c r="A16" s="62" t="s">
        <v>56</v>
      </c>
      <c r="B16" s="63" t="s">
        <v>57</v>
      </c>
      <c r="C16" s="7"/>
      <c r="D16" s="7"/>
      <c r="E16" s="8"/>
      <c r="F16" s="64" t="s">
        <v>58</v>
      </c>
      <c r="G16" s="65" t="s">
        <v>93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/>
      <c r="T16" s="66"/>
    </row>
    <row r="17" spans="8:8" ht="24.0" customHeight="1">
      <c r="A17" s="38" t="s">
        <v>56</v>
      </c>
      <c r="B17" s="39" t="s">
        <v>94</v>
      </c>
      <c r="C17" s="7"/>
      <c r="D17" s="7"/>
      <c r="E17" s="8"/>
      <c r="F17" s="67" t="s">
        <v>95</v>
      </c>
      <c r="G17" s="41" t="s">
        <v>96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/>
      <c r="T17" s="42"/>
    </row>
    <row r="18" spans="8:8" ht="24.0" customHeight="1">
      <c r="A18" s="62" t="s">
        <v>97</v>
      </c>
      <c r="B18" s="63" t="s">
        <v>98</v>
      </c>
      <c r="C18" s="7"/>
      <c r="D18" s="7"/>
      <c r="E18" s="8"/>
      <c r="F18" s="64" t="s">
        <v>65</v>
      </c>
      <c r="G18" s="65" t="s">
        <v>99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/>
      <c r="T18" s="66"/>
    </row>
    <row r="19" spans="8:8" ht="24.0" customHeight="1">
      <c r="A19" s="38" t="s">
        <v>97</v>
      </c>
      <c r="B19" s="39" t="s">
        <v>100</v>
      </c>
      <c r="C19" s="7"/>
      <c r="D19" s="7"/>
      <c r="E19" s="8"/>
      <c r="F19" s="67" t="s">
        <v>65</v>
      </c>
      <c r="G19" s="41" t="s">
        <v>101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/>
      <c r="T19" s="42"/>
    </row>
    <row r="20" spans="8:8" ht="24.0" customHeight="1">
      <c r="A20" s="62" t="s">
        <v>102</v>
      </c>
      <c r="B20" s="63" t="s">
        <v>103</v>
      </c>
      <c r="C20" s="7"/>
      <c r="D20" s="7"/>
      <c r="E20" s="8"/>
      <c r="F20" s="64" t="s">
        <v>65</v>
      </c>
      <c r="G20" s="65" t="s">
        <v>104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/>
      <c r="T20" s="66"/>
    </row>
    <row r="21" spans="8:8" ht="24.0" customHeight="1">
      <c r="A21" s="38" t="s">
        <v>102</v>
      </c>
      <c r="B21" s="39" t="s">
        <v>67</v>
      </c>
      <c r="C21" s="7"/>
      <c r="D21" s="7"/>
      <c r="E21" s="8"/>
      <c r="F21" s="67" t="s">
        <v>65</v>
      </c>
      <c r="G21" s="41" t="s">
        <v>105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8"/>
      <c r="T21" s="42"/>
    </row>
    <row r="22" spans="8:8" ht="24.0" customHeight="1">
      <c r="A22" s="62" t="s">
        <v>102</v>
      </c>
      <c r="B22" s="63" t="s">
        <v>106</v>
      </c>
      <c r="C22" s="7"/>
      <c r="D22" s="7"/>
      <c r="E22" s="8"/>
      <c r="F22" s="64" t="s">
        <v>65</v>
      </c>
      <c r="G22" s="65" t="s">
        <v>107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8"/>
      <c r="T22" s="66"/>
    </row>
    <row r="23" spans="8:8" ht="24.0" customHeight="1">
      <c r="A23" s="38" t="s">
        <v>102</v>
      </c>
      <c r="B23" s="39" t="s">
        <v>108</v>
      </c>
      <c r="C23" s="7"/>
      <c r="D23" s="7"/>
      <c r="E23" s="8"/>
      <c r="F23" s="67" t="s">
        <v>65</v>
      </c>
      <c r="G23" s="41" t="s">
        <v>109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8"/>
      <c r="T23" s="42"/>
    </row>
    <row r="24" spans="8:8" ht="24.0" customHeight="1">
      <c r="A24" s="62" t="s">
        <v>102</v>
      </c>
      <c r="B24" s="63" t="s">
        <v>110</v>
      </c>
      <c r="C24" s="7"/>
      <c r="D24" s="7"/>
      <c r="E24" s="8"/>
      <c r="F24" s="64" t="s">
        <v>65</v>
      </c>
      <c r="G24" s="65" t="s">
        <v>111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/>
      <c r="T24" s="66"/>
    </row>
    <row r="25" spans="8:8" ht="24.0" customHeight="1">
      <c r="A25" s="38" t="s">
        <v>112</v>
      </c>
      <c r="B25" s="39" t="s">
        <v>113</v>
      </c>
      <c r="C25" s="7"/>
      <c r="D25" s="7"/>
      <c r="E25" s="8"/>
      <c r="F25" s="67" t="s">
        <v>65</v>
      </c>
      <c r="G25" s="41" t="s">
        <v>114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8"/>
      <c r="T25" s="42"/>
    </row>
    <row r="26" spans="8:8" ht="18.0" customHeight="1">
      <c r="A26" s="43" t="s">
        <v>115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</row>
    <row r="27" spans="8:8" ht="15.75" customHeight="1"/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mergeCells count="32">
    <mergeCell ref="A26:T26"/>
    <mergeCell ref="G21:S21"/>
    <mergeCell ref="B23:E23"/>
    <mergeCell ref="A14:T14"/>
    <mergeCell ref="M6:O6"/>
    <mergeCell ref="A5:T5"/>
    <mergeCell ref="A2:T2"/>
    <mergeCell ref="A1:T1"/>
    <mergeCell ref="G16:S16"/>
    <mergeCell ref="B25:E25"/>
    <mergeCell ref="P6:R6"/>
    <mergeCell ref="J6:L6"/>
    <mergeCell ref="G6:I6"/>
    <mergeCell ref="G25:S25"/>
    <mergeCell ref="B20:E20"/>
    <mergeCell ref="G22:S22"/>
    <mergeCell ref="G20:S20"/>
    <mergeCell ref="G18:S18"/>
    <mergeCell ref="B17:E17"/>
    <mergeCell ref="B16:E16"/>
    <mergeCell ref="G17:S17"/>
    <mergeCell ref="B18:E18"/>
    <mergeCell ref="G24:S24"/>
    <mergeCell ref="B15:E15"/>
    <mergeCell ref="A12:T12"/>
    <mergeCell ref="B19:E19"/>
    <mergeCell ref="G23:S23"/>
    <mergeCell ref="B24:E24"/>
    <mergeCell ref="B22:E22"/>
    <mergeCell ref="B21:E21"/>
    <mergeCell ref="G19:S19"/>
    <mergeCell ref="G15:S15"/>
  </mergeCells>
  <pageMargins left="0.75" right="0.75" top="1.0" bottom="1.0" header="0.0" footer="0.0"/>
  <pageSetup paperSize="9" fitToWidth="0" fitToHeight="0" orientation="landscape"/>
  <headerFooter>
    <oddFooter>&amp;C_x000D_#000000 DSV internal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V1000"/>
  <sheetViews>
    <sheetView workbookViewId="0">
      <selection activeCell="A1" sqref="A1:T1"/>
    </sheetView>
  </sheetViews>
  <sheetFormatPr defaultRowHeight="15.0" customHeight="1" defaultColWidth="14"/>
  <cols>
    <col min="1" max="1" customWidth="1" width="9.425781" style="0"/>
    <col min="2" max="2" customWidth="1" width="20.140625" style="0"/>
    <col min="3" max="3" customWidth="1" width="5.8554688" style="0"/>
    <col min="4" max="4" customWidth="1" width="6.7109375" style="0"/>
    <col min="5" max="6" customWidth="1" width="13.855469" style="0"/>
    <col min="7" max="7" customWidth="1" width="6.140625" style="0"/>
    <col min="8" max="8" customWidth="1" width="5.5703125" style="0"/>
    <col min="9" max="9" customWidth="1" width="19.0" style="0"/>
    <col min="10" max="10" customWidth="1" width="6.140625" style="0"/>
    <col min="11" max="11" customWidth="1" width="5.5703125" style="0"/>
    <col min="12" max="12" customWidth="1" width="19.0" style="0"/>
    <col min="13" max="13" customWidth="1" width="6.140625" style="0"/>
    <col min="14" max="14" customWidth="1" width="5.5703125" style="0"/>
    <col min="15" max="15" customWidth="1" width="18.0" style="0"/>
    <col min="16" max="16" customWidth="1" width="6.140625" style="0"/>
    <col min="17" max="17" customWidth="1" width="5.5703125" style="0"/>
    <col min="18" max="18" customWidth="1" width="20.0" style="0"/>
    <col min="19" max="19" customWidth="1" width="15.7109375" style="0"/>
    <col min="20" max="20" customWidth="1" width="24.0" style="0"/>
    <col min="21" max="26" customWidth="1" width="8.7109375" style="0"/>
  </cols>
  <sheetData>
    <row r="1" spans="8:8" ht="27.75" customHeight="1">
      <c r="A1" s="68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8:8" ht="18.0" customHeight="1">
      <c r="A2" s="69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8:8" ht="7.5" customHeight="1"/>
    <row r="4" spans="8:8" ht="7.5" customHeight="1"/>
    <row r="5" spans="8:8" ht="19.5" customHeight="1">
      <c r="A5" s="70" t="s">
        <v>2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</row>
    <row r="6" spans="8:8" ht="15.75" customHeight="1">
      <c r="A6" s="71"/>
      <c r="B6" s="71"/>
      <c r="C6" s="71"/>
      <c r="D6" s="71"/>
      <c r="E6" s="71"/>
      <c r="F6" s="71"/>
      <c r="G6" s="72" t="s">
        <v>3</v>
      </c>
      <c r="H6" s="7"/>
      <c r="I6" s="8"/>
      <c r="J6" s="72" t="s">
        <v>4</v>
      </c>
      <c r="K6" s="7"/>
      <c r="L6" s="8"/>
      <c r="M6" s="72" t="s">
        <v>5</v>
      </c>
      <c r="N6" s="7"/>
      <c r="O6" s="8"/>
      <c r="P6" s="72" t="s">
        <v>6</v>
      </c>
      <c r="Q6" s="7"/>
      <c r="R6" s="8"/>
      <c r="S6" s="71"/>
      <c r="T6" s="71"/>
    </row>
    <row r="7" spans="8:8" ht="37.5" customHeight="1">
      <c r="A7" s="73" t="s">
        <v>7</v>
      </c>
      <c r="B7" s="73" t="s">
        <v>8</v>
      </c>
      <c r="C7" s="73" t="s">
        <v>9</v>
      </c>
      <c r="D7" s="73" t="s">
        <v>10</v>
      </c>
      <c r="E7" s="73" t="s">
        <v>11</v>
      </c>
      <c r="F7" s="73" t="s">
        <v>12</v>
      </c>
      <c r="G7" s="73" t="s">
        <v>13</v>
      </c>
      <c r="H7" s="73" t="s">
        <v>14</v>
      </c>
      <c r="I7" s="73" t="s">
        <v>15</v>
      </c>
      <c r="J7" s="73" t="s">
        <v>13</v>
      </c>
      <c r="K7" s="73" t="s">
        <v>14</v>
      </c>
      <c r="L7" s="73" t="s">
        <v>15</v>
      </c>
      <c r="M7" s="73" t="s">
        <v>13</v>
      </c>
      <c r="N7" s="73" t="s">
        <v>14</v>
      </c>
      <c r="O7" s="73" t="s">
        <v>15</v>
      </c>
      <c r="P7" s="73" t="s">
        <v>13</v>
      </c>
      <c r="Q7" s="73" t="s">
        <v>14</v>
      </c>
      <c r="R7" s="73" t="s">
        <v>15</v>
      </c>
      <c r="S7" s="73" t="s">
        <v>16</v>
      </c>
      <c r="T7" s="73" t="s">
        <v>17</v>
      </c>
    </row>
    <row r="8" spans="8:8" ht="36.0" customHeight="1">
      <c r="A8" s="74">
        <v>1.0</v>
      </c>
      <c r="B8" s="75" t="s">
        <v>117</v>
      </c>
      <c r="C8" s="76">
        <v>4.0</v>
      </c>
      <c r="D8" s="76" t="s">
        <v>118</v>
      </c>
      <c r="E8" s="77">
        <v>70.0</v>
      </c>
      <c r="F8" s="54" t="s">
        <v>76</v>
      </c>
      <c r="G8" s="76"/>
      <c r="H8" s="76"/>
      <c r="I8" s="15" t="s">
        <v>119</v>
      </c>
      <c r="J8" s="76"/>
      <c r="K8" s="76"/>
      <c r="L8" s="16" t="s">
        <v>83</v>
      </c>
      <c r="M8" s="76"/>
      <c r="N8" s="76"/>
      <c r="O8" s="17" t="s">
        <v>84</v>
      </c>
      <c r="P8" s="76"/>
      <c r="Q8" s="76"/>
      <c r="R8" s="17" t="s">
        <v>120</v>
      </c>
      <c r="S8" s="76" t="str">
        <f>IF(Q8="","–",IF(ISNUMBER(Q8),IF(Q8&gt;8,"✓ TAK – dodaj 2,5 kg","✗ NIE – zostań z ciężarem"),"–"))</f>
        <v>–</v>
      </c>
      <c r="T8" s="78"/>
    </row>
    <row r="9" spans="8:8" ht="36.0" customHeight="1">
      <c r="A9" s="79">
        <v>2.0</v>
      </c>
      <c r="B9" s="21" t="s">
        <v>121</v>
      </c>
      <c r="C9" s="22">
        <v>3.0</v>
      </c>
      <c r="D9" s="22" t="s">
        <v>26</v>
      </c>
      <c r="E9" s="23">
        <v>40.0</v>
      </c>
      <c r="F9" s="14" t="s">
        <v>20</v>
      </c>
      <c r="G9" s="22"/>
      <c r="H9" s="22"/>
      <c r="I9" s="16" t="s">
        <v>122</v>
      </c>
      <c r="J9" s="22"/>
      <c r="K9" s="22"/>
      <c r="L9" s="17" t="s">
        <v>123</v>
      </c>
      <c r="M9" s="22"/>
      <c r="N9" s="22"/>
      <c r="O9" s="18" t="s">
        <v>41</v>
      </c>
      <c r="P9" s="24"/>
      <c r="Q9" s="24"/>
      <c r="R9" s="24"/>
      <c r="S9" s="22" t="str">
        <f>IF(N9="","–",IF(ISNUMBER(N9),IF(N9&gt;10,"✓ TAK – dodaj 2,5 kg","✗ NIE – zostań z ciężarem"),"–"))</f>
        <v>–</v>
      </c>
      <c r="T9" s="25" t="s">
        <v>124</v>
      </c>
    </row>
    <row r="10" spans="8:8" ht="36.0" customHeight="1">
      <c r="A10" s="74">
        <v>3.0</v>
      </c>
      <c r="B10" s="75" t="s">
        <v>125</v>
      </c>
      <c r="C10" s="76">
        <v>3.0</v>
      </c>
      <c r="D10" s="76" t="s">
        <v>89</v>
      </c>
      <c r="E10" s="77">
        <v>50.0</v>
      </c>
      <c r="F10" s="14" t="s">
        <v>20</v>
      </c>
      <c r="G10" s="76"/>
      <c r="H10" s="76"/>
      <c r="I10" s="16" t="s">
        <v>29</v>
      </c>
      <c r="J10" s="76"/>
      <c r="K10" s="76"/>
      <c r="L10" s="17" t="s">
        <v>47</v>
      </c>
      <c r="M10" s="76"/>
      <c r="N10" s="76"/>
      <c r="O10" s="18" t="s">
        <v>41</v>
      </c>
      <c r="P10" s="24"/>
      <c r="Q10" s="24"/>
      <c r="R10" s="24"/>
      <c r="S10" s="76" t="str">
        <f>IF(N10="","–",IF(ISNUMBER(N10),IF(N10&gt;12,"✓ TAK – dodaj 2,5 kg","✗ NIE – zostań z ciężarem"),"–"))</f>
        <v>–</v>
      </c>
      <c r="T10" s="80" t="s">
        <v>126</v>
      </c>
    </row>
    <row r="11" spans="8:8" ht="15.75" customHeight="1">
      <c r="A11" s="28" t="s">
        <v>50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</row>
    <row r="13" spans="8:8" ht="21.75" customHeight="1">
      <c r="A13" s="81" t="s">
        <v>127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</row>
    <row r="14" spans="8:8" ht="27.75" customHeight="1">
      <c r="A14" s="82" t="s">
        <v>52</v>
      </c>
      <c r="B14" s="83" t="s">
        <v>53</v>
      </c>
      <c r="C14" s="7"/>
      <c r="D14" s="7"/>
      <c r="E14" s="8"/>
      <c r="F14" s="82" t="s">
        <v>54</v>
      </c>
      <c r="G14" s="83" t="s">
        <v>55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8"/>
      <c r="T14" s="84"/>
    </row>
    <row r="15" spans="8:8" ht="24.0" customHeight="1">
      <c r="A15" s="85" t="s">
        <v>56</v>
      </c>
      <c r="B15" s="86" t="s">
        <v>128</v>
      </c>
      <c r="C15" s="7"/>
      <c r="D15" s="7"/>
      <c r="E15" s="8"/>
      <c r="F15" s="87" t="s">
        <v>129</v>
      </c>
      <c r="G15" s="88" t="s">
        <v>130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/>
      <c r="T15" s="89"/>
    </row>
    <row r="16" spans="8:8" ht="24.0" customHeight="1">
      <c r="A16" s="38" t="s">
        <v>131</v>
      </c>
      <c r="B16" s="39" t="s">
        <v>132</v>
      </c>
      <c r="C16" s="7"/>
      <c r="D16" s="7"/>
      <c r="E16" s="8"/>
      <c r="F16" s="90" t="s">
        <v>65</v>
      </c>
      <c r="G16" s="41" t="s">
        <v>133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/>
      <c r="T16" s="42"/>
    </row>
    <row r="17" spans="8:8" ht="24.0" customHeight="1">
      <c r="A17" s="85" t="s">
        <v>131</v>
      </c>
      <c r="B17" s="86" t="s">
        <v>134</v>
      </c>
      <c r="C17" s="7"/>
      <c r="D17" s="7"/>
      <c r="E17" s="8"/>
      <c r="F17" s="87" t="s">
        <v>65</v>
      </c>
      <c r="G17" s="88" t="s">
        <v>135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/>
      <c r="T17" s="89"/>
    </row>
    <row r="18" spans="8:8" ht="24.0" customHeight="1">
      <c r="A18" s="38" t="s">
        <v>131</v>
      </c>
      <c r="B18" s="39" t="s">
        <v>136</v>
      </c>
      <c r="C18" s="7"/>
      <c r="D18" s="7"/>
      <c r="E18" s="8"/>
      <c r="F18" s="90" t="s">
        <v>65</v>
      </c>
      <c r="G18" s="41" t="s">
        <v>137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/>
      <c r="T18" s="42"/>
    </row>
    <row r="19" spans="8:8" ht="24.0" customHeight="1">
      <c r="A19" s="85" t="s">
        <v>131</v>
      </c>
      <c r="B19" s="86" t="s">
        <v>138</v>
      </c>
      <c r="C19" s="7"/>
      <c r="D19" s="7"/>
      <c r="E19" s="8"/>
      <c r="F19" s="87" t="s">
        <v>65</v>
      </c>
      <c r="G19" s="88" t="s">
        <v>139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/>
      <c r="T19" s="89"/>
    </row>
    <row r="20" spans="8:8" ht="24.0" customHeight="1">
      <c r="A20" s="38" t="s">
        <v>140</v>
      </c>
      <c r="B20" s="39" t="s">
        <v>141</v>
      </c>
      <c r="C20" s="7"/>
      <c r="D20" s="7"/>
      <c r="E20" s="8"/>
      <c r="F20" s="90" t="s">
        <v>65</v>
      </c>
      <c r="G20" s="41" t="s">
        <v>142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/>
      <c r="T20" s="42"/>
    </row>
    <row r="21" spans="8:8" ht="24.0" customHeight="1">
      <c r="A21" s="85" t="s">
        <v>143</v>
      </c>
      <c r="B21" s="86" t="s">
        <v>144</v>
      </c>
      <c r="C21" s="7"/>
      <c r="D21" s="7"/>
      <c r="E21" s="8"/>
      <c r="F21" s="87" t="s">
        <v>65</v>
      </c>
      <c r="G21" s="88" t="s">
        <v>145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8"/>
      <c r="T21" s="89"/>
    </row>
    <row r="22" spans="8:8" ht="24.0" customHeight="1">
      <c r="A22" s="38" t="s">
        <v>143</v>
      </c>
      <c r="B22" s="39" t="s">
        <v>146</v>
      </c>
      <c r="C22" s="7"/>
      <c r="D22" s="7"/>
      <c r="E22" s="8"/>
      <c r="F22" s="90" t="s">
        <v>65</v>
      </c>
      <c r="G22" s="41" t="s">
        <v>147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8"/>
      <c r="T22" s="42"/>
    </row>
    <row r="23" spans="8:8" ht="24.0" customHeight="1">
      <c r="A23" s="85" t="s">
        <v>143</v>
      </c>
      <c r="B23" s="86" t="s">
        <v>148</v>
      </c>
      <c r="C23" s="7"/>
      <c r="D23" s="7"/>
      <c r="E23" s="8"/>
      <c r="F23" s="87" t="s">
        <v>65</v>
      </c>
      <c r="G23" s="88" t="s">
        <v>149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8"/>
      <c r="T23" s="89"/>
    </row>
    <row r="24" spans="8:8" ht="24.0" customHeight="1">
      <c r="A24" s="38" t="s">
        <v>143</v>
      </c>
      <c r="B24" s="39" t="s">
        <v>150</v>
      </c>
      <c r="C24" s="7"/>
      <c r="D24" s="7"/>
      <c r="E24" s="8"/>
      <c r="F24" s="90" t="s">
        <v>65</v>
      </c>
      <c r="G24" s="41" t="s">
        <v>109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/>
      <c r="T24" s="42"/>
    </row>
    <row r="25" spans="8:8" ht="24.0" customHeight="1">
      <c r="A25" s="85" t="s">
        <v>151</v>
      </c>
      <c r="B25" s="86" t="s">
        <v>152</v>
      </c>
      <c r="C25" s="7"/>
      <c r="D25" s="7"/>
      <c r="E25" s="8"/>
      <c r="F25" s="87" t="s">
        <v>65</v>
      </c>
      <c r="G25" s="88" t="s">
        <v>153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8"/>
      <c r="T25" s="89"/>
    </row>
    <row r="26" spans="8:8" ht="24.0" customHeight="1">
      <c r="A26" s="38" t="s">
        <v>154</v>
      </c>
      <c r="B26" s="39" t="s">
        <v>155</v>
      </c>
      <c r="C26" s="7"/>
      <c r="D26" s="7"/>
      <c r="E26" s="8"/>
      <c r="F26" s="90" t="s">
        <v>65</v>
      </c>
      <c r="G26" s="41" t="s">
        <v>156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8"/>
      <c r="T26" s="42"/>
    </row>
    <row r="27" spans="8:8" ht="18.0" customHeight="1">
      <c r="A27" s="43" t="s">
        <v>157</v>
      </c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</row>
    <row r="28" spans="8:8" ht="15.75" customHeight="1"/>
    <row r="29" spans="8:8" ht="15.75" customHeight="1"/>
    <row r="30" spans="8:8" ht="15.75" customHeight="1"/>
    <row r="31" spans="8:8" ht="15.75" customHeight="1"/>
    <row r="32" spans="8:8" ht="15.75" customHeight="1"/>
    <row r="33" spans="8:8" ht="15.75" customHeight="1"/>
    <row r="34" spans="8:8" ht="15.75" customHeight="1"/>
    <row r="35" spans="8:8" ht="15.75" customHeight="1"/>
    <row r="36" spans="8:8" ht="15.75" customHeight="1"/>
    <row r="37" spans="8:8" ht="15.75" customHeight="1"/>
    <row r="38" spans="8:8" ht="15.75" customHeight="1"/>
    <row r="39" spans="8:8" ht="15.75" customHeight="1"/>
    <row r="40" spans="8:8" ht="15.75" customHeight="1"/>
    <row r="41" spans="8:8" ht="15.75" customHeight="1"/>
    <row r="42" spans="8:8" ht="15.75" customHeight="1"/>
    <row r="43" spans="8:8" ht="15.75" customHeight="1"/>
    <row r="44" spans="8:8" ht="15.75" customHeight="1"/>
    <row r="45" spans="8:8" ht="15.75" customHeight="1"/>
    <row r="46" spans="8:8" ht="15.75" customHeight="1"/>
    <row r="47" spans="8:8" ht="15.75" customHeight="1"/>
    <row r="48" spans="8:8" ht="15.75" customHeight="1"/>
    <row r="49" spans="8:8" ht="15.75" customHeight="1"/>
    <row r="50" spans="8:8" ht="15.75" customHeight="1"/>
    <row r="51" spans="8:8" ht="15.75" customHeight="1"/>
    <row r="52" spans="8:8" ht="15.75" customHeight="1"/>
    <row r="53" spans="8:8" ht="15.75" customHeight="1"/>
    <row r="54" spans="8:8" ht="15.75" customHeight="1"/>
    <row r="55" spans="8:8" ht="15.75" customHeight="1"/>
    <row r="56" spans="8:8" ht="15.75" customHeight="1"/>
    <row r="57" spans="8:8" ht="15.75" customHeight="1"/>
    <row r="58" spans="8:8" ht="15.75" customHeight="1"/>
    <row r="59" spans="8:8" ht="15.75" customHeight="1"/>
    <row r="60" spans="8:8" ht="15.75" customHeight="1"/>
    <row r="61" spans="8:8" ht="15.75" customHeight="1"/>
    <row r="62" spans="8:8" ht="15.75" customHeight="1"/>
    <row r="63" spans="8:8" ht="15.75" customHeight="1"/>
    <row r="64" spans="8:8" ht="15.75" customHeight="1"/>
    <row r="65" spans="8:8" ht="15.75" customHeight="1"/>
    <row r="66" spans="8:8" ht="15.75" customHeight="1"/>
    <row r="67" spans="8:8" ht="15.75" customHeight="1"/>
    <row r="68" spans="8:8" ht="15.75" customHeight="1"/>
    <row r="69" spans="8:8" ht="15.75" customHeight="1"/>
    <row r="70" spans="8:8" ht="15.75" customHeight="1"/>
    <row r="71" spans="8:8" ht="15.75" customHeight="1"/>
    <row r="72" spans="8:8" ht="15.75" customHeight="1"/>
    <row r="73" spans="8:8" ht="15.75" customHeight="1"/>
    <row r="74" spans="8:8" ht="15.75" customHeight="1"/>
    <row r="75" spans="8:8" ht="15.75" customHeight="1"/>
    <row r="76" spans="8:8" ht="15.75" customHeight="1"/>
    <row r="77" spans="8:8" ht="15.75" customHeight="1"/>
    <row r="78" spans="8:8" ht="15.75" customHeight="1"/>
    <row r="79" spans="8:8" ht="15.75" customHeight="1"/>
    <row r="80" spans="8:8" ht="15.75" customHeight="1"/>
    <row r="81" spans="8:8" ht="15.75" customHeight="1"/>
    <row r="82" spans="8:8" ht="15.75" customHeight="1"/>
    <row r="83" spans="8:8" ht="15.75" customHeight="1"/>
    <row r="84" spans="8:8" ht="15.75" customHeight="1"/>
    <row r="85" spans="8:8" ht="15.75" customHeight="1"/>
    <row r="86" spans="8:8" ht="15.75" customHeight="1"/>
    <row r="87" spans="8:8" ht="15.75" customHeight="1"/>
    <row r="88" spans="8:8" ht="15.75" customHeight="1"/>
    <row r="89" spans="8:8" ht="15.75" customHeight="1"/>
    <row r="90" spans="8:8" ht="15.75" customHeight="1"/>
    <row r="91" spans="8:8" ht="15.75" customHeight="1"/>
    <row r="92" spans="8:8" ht="15.75" customHeight="1"/>
    <row r="93" spans="8:8" ht="15.75" customHeight="1"/>
    <row r="94" spans="8:8" ht="15.75" customHeight="1"/>
    <row r="95" spans="8:8" ht="15.75" customHeight="1"/>
    <row r="96" spans="8:8" ht="15.75" customHeight="1"/>
    <row r="97" spans="8:8" ht="15.75" customHeight="1"/>
    <row r="98" spans="8:8" ht="15.75" customHeight="1"/>
    <row r="99" spans="8:8" ht="15.75" customHeight="1"/>
    <row r="100" spans="8:8" ht="15.75" customHeight="1"/>
    <row r="101" spans="8:8" ht="15.75" customHeight="1"/>
    <row r="102" spans="8:8" ht="15.75" customHeight="1"/>
    <row r="103" spans="8:8" ht="15.75" customHeight="1"/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spans="8:8" ht="15.75" customHeight="1"/>
    <row r="114" spans="8:8" ht="15.75" customHeight="1"/>
    <row r="115" spans="8:8" ht="15.75" customHeight="1"/>
    <row r="116" spans="8:8" ht="15.75" customHeight="1"/>
    <row r="117" spans="8:8" ht="15.75" customHeight="1"/>
    <row r="118" spans="8:8" ht="15.75" customHeight="1"/>
    <row r="119" spans="8:8" ht="15.75" customHeight="1"/>
    <row r="120" spans="8:8" ht="15.75" customHeight="1"/>
    <row r="121" spans="8:8" ht="15.75" customHeight="1"/>
    <row r="122" spans="8:8" ht="15.75" customHeight="1"/>
    <row r="123" spans="8:8" ht="15.75" customHeight="1"/>
    <row r="124" spans="8:8" ht="15.75" customHeight="1"/>
    <row r="125" spans="8:8" ht="15.75" customHeight="1"/>
    <row r="126" spans="8:8" ht="15.75" customHeight="1"/>
    <row r="127" spans="8:8" ht="15.75" customHeight="1"/>
    <row r="128" spans="8:8" ht="15.75" customHeight="1"/>
    <row r="129" spans="8:8" ht="15.75" customHeight="1"/>
    <row r="130" spans="8:8" ht="15.75" customHeight="1"/>
    <row r="131" spans="8:8" ht="15.75" customHeight="1"/>
    <row r="132" spans="8:8" ht="15.75" customHeight="1"/>
    <row r="133" spans="8:8" ht="15.75" customHeight="1"/>
    <row r="134" spans="8:8" ht="15.75" customHeight="1"/>
    <row r="135" spans="8:8" ht="15.75" customHeight="1"/>
    <row r="136" spans="8:8" ht="15.75" customHeight="1"/>
    <row r="137" spans="8:8" ht="15.75" customHeight="1"/>
    <row r="138" spans="8:8" ht="15.75" customHeight="1"/>
    <row r="139" spans="8:8" ht="15.75" customHeight="1"/>
    <row r="140" spans="8:8" ht="15.75" customHeight="1"/>
    <row r="141" spans="8:8" ht="15.75" customHeight="1"/>
    <row r="142" spans="8:8" ht="15.75" customHeight="1"/>
    <row r="143" spans="8:8" ht="15.75" customHeight="1"/>
    <row r="144" spans="8:8" ht="15.75" customHeight="1"/>
    <row r="145" spans="8:8" ht="15.75" customHeight="1"/>
    <row r="146" spans="8:8" ht="15.75" customHeight="1"/>
    <row r="147" spans="8:8" ht="15.75" customHeight="1"/>
    <row r="148" spans="8:8" ht="15.75" customHeight="1"/>
    <row r="149" spans="8:8" ht="15.75" customHeight="1"/>
    <row r="150" spans="8:8" ht="15.75" customHeight="1"/>
    <row r="151" spans="8:8" ht="15.75" customHeight="1"/>
    <row r="152" spans="8:8" ht="15.75" customHeight="1"/>
    <row r="153" spans="8:8" ht="15.75" customHeight="1"/>
    <row r="154" spans="8:8" ht="15.75" customHeight="1"/>
    <row r="155" spans="8:8" ht="15.75" customHeight="1"/>
    <row r="156" spans="8:8" ht="15.75" customHeight="1"/>
    <row r="157" spans="8:8" ht="15.75" customHeight="1"/>
    <row r="158" spans="8:8" ht="15.75" customHeight="1"/>
    <row r="159" spans="8:8" ht="15.75" customHeight="1"/>
    <row r="160" spans="8:8" ht="15.75" customHeight="1"/>
    <row r="161" spans="8:8" ht="15.75" customHeight="1"/>
    <row r="162" spans="8:8" ht="15.75" customHeight="1"/>
    <row r="163" spans="8:8" ht="15.75" customHeight="1"/>
    <row r="164" spans="8:8" ht="15.75" customHeight="1"/>
    <row r="165" spans="8:8" ht="15.75" customHeight="1"/>
    <row r="166" spans="8:8" ht="15.75" customHeight="1"/>
    <row r="167" spans="8:8" ht="15.75" customHeight="1"/>
    <row r="168" spans="8:8" ht="15.75" customHeight="1"/>
    <row r="169" spans="8:8" ht="15.75" customHeight="1"/>
    <row r="170" spans="8:8" ht="15.75" customHeight="1"/>
    <row r="171" spans="8:8" ht="15.75" customHeight="1"/>
    <row r="172" spans="8:8" ht="15.75" customHeight="1"/>
    <row r="173" spans="8:8" ht="15.75" customHeight="1"/>
    <row r="174" spans="8:8" ht="15.75" customHeight="1"/>
    <row r="175" spans="8:8" ht="15.75" customHeight="1"/>
    <row r="176" spans="8:8" ht="15.75" customHeight="1"/>
    <row r="177" spans="8:8" ht="15.75" customHeight="1"/>
    <row r="178" spans="8:8" ht="15.75" customHeight="1"/>
    <row r="179" spans="8:8" ht="15.75" customHeight="1"/>
    <row r="180" spans="8:8" ht="15.75" customHeight="1"/>
    <row r="181" spans="8:8" ht="15.75" customHeight="1"/>
    <row r="182" spans="8:8" ht="15.75" customHeight="1"/>
    <row r="183" spans="8:8" ht="15.75" customHeight="1"/>
    <row r="184" spans="8:8" ht="15.75" customHeight="1"/>
    <row r="185" spans="8:8" ht="15.75" customHeight="1"/>
    <row r="186" spans="8:8" ht="15.75" customHeight="1"/>
    <row r="187" spans="8:8" ht="15.75" customHeight="1"/>
    <row r="188" spans="8:8" ht="15.75" customHeight="1"/>
    <row r="189" spans="8:8" ht="15.75" customHeight="1"/>
    <row r="190" spans="8:8" ht="15.75" customHeight="1"/>
    <row r="191" spans="8:8" ht="15.75" customHeight="1"/>
    <row r="192" spans="8:8" ht="15.75" customHeight="1"/>
    <row r="193" spans="8:8" ht="15.75" customHeight="1"/>
    <row r="194" spans="8:8" ht="15.75" customHeight="1"/>
    <row r="195" spans="8:8" ht="15.75" customHeight="1"/>
    <row r="196" spans="8:8" ht="15.75" customHeight="1"/>
    <row r="197" spans="8:8" ht="15.75" customHeight="1"/>
    <row r="198" spans="8:8" ht="15.75" customHeight="1"/>
    <row r="199" spans="8:8" ht="15.75" customHeight="1"/>
    <row r="200" spans="8:8" ht="15.75" customHeight="1"/>
    <row r="201" spans="8:8" ht="15.75" customHeight="1"/>
    <row r="202" spans="8:8" ht="15.75" customHeight="1"/>
    <row r="203" spans="8:8" ht="15.75" customHeight="1"/>
    <row r="204" spans="8:8" ht="15.75" customHeight="1"/>
    <row r="205" spans="8:8" ht="15.75" customHeight="1"/>
    <row r="206" spans="8:8" ht="15.75" customHeight="1"/>
    <row r="207" spans="8:8" ht="15.75" customHeight="1"/>
    <row r="208" spans="8:8" ht="15.75" customHeight="1"/>
    <row r="209" spans="8:8" ht="15.75" customHeight="1"/>
    <row r="210" spans="8:8" ht="15.75" customHeight="1"/>
    <row r="211" spans="8:8" ht="15.75" customHeight="1"/>
    <row r="212" spans="8:8" ht="15.75" customHeight="1"/>
    <row r="213" spans="8:8" ht="15.75" customHeight="1"/>
    <row r="214" spans="8:8" ht="15.75" customHeight="1"/>
    <row r="215" spans="8:8" ht="15.75" customHeight="1"/>
    <row r="216" spans="8:8" ht="15.75" customHeight="1"/>
    <row r="217" spans="8:8" ht="15.75" customHeight="1"/>
    <row r="218" spans="8:8" ht="15.75" customHeight="1"/>
    <row r="219" spans="8:8" ht="15.75" customHeight="1"/>
    <row r="220" spans="8:8" ht="15.75" customHeight="1"/>
    <row r="221" spans="8:8" ht="15.75" customHeight="1"/>
    <row r="222" spans="8:8" ht="15.75" customHeight="1"/>
    <row r="223" spans="8:8" ht="15.75" customHeight="1"/>
    <row r="224" spans="8:8" ht="15.75" customHeight="1"/>
    <row r="225" spans="8:8" ht="15.75" customHeight="1"/>
    <row r="226" spans="8:8" ht="15.75" customHeight="1"/>
    <row r="227" spans="8:8" ht="15.75" customHeight="1"/>
    <row r="228" spans="8:8" ht="15.75" customHeight="1"/>
    <row r="229" spans="8:8" ht="15.75" customHeight="1"/>
    <row r="230" spans="8:8" ht="15.75" customHeight="1"/>
    <row r="231" spans="8:8" ht="15.75" customHeight="1"/>
    <row r="232" spans="8:8" ht="15.75" customHeight="1"/>
    <row r="233" spans="8:8" ht="15.75" customHeight="1"/>
    <row r="234" spans="8:8" ht="15.75" customHeight="1"/>
    <row r="235" spans="8:8" ht="15.75" customHeight="1"/>
    <row r="236" spans="8:8" ht="15.75" customHeight="1"/>
    <row r="237" spans="8:8" ht="15.75" customHeight="1"/>
    <row r="238" spans="8:8" ht="15.75" customHeight="1"/>
    <row r="239" spans="8:8" ht="15.75" customHeight="1"/>
    <row r="240" spans="8:8" ht="15.75" customHeight="1"/>
    <row r="241" spans="8:8" ht="15.75" customHeight="1"/>
    <row r="242" spans="8:8" ht="15.75" customHeight="1"/>
    <row r="243" spans="8:8" ht="15.75" customHeight="1"/>
    <row r="244" spans="8:8" ht="15.75" customHeight="1"/>
    <row r="245" spans="8:8" ht="15.75" customHeight="1"/>
    <row r="246" spans="8:8" ht="15.75" customHeight="1"/>
    <row r="247" spans="8:8" ht="15.75" customHeight="1"/>
    <row r="248" spans="8:8" ht="15.75" customHeight="1"/>
    <row r="249" spans="8:8" ht="15.75" customHeight="1"/>
    <row r="250" spans="8:8" ht="15.75" customHeight="1"/>
    <row r="251" spans="8:8" ht="15.75" customHeight="1"/>
    <row r="252" spans="8:8" ht="15.75" customHeight="1"/>
    <row r="253" spans="8:8" ht="15.75" customHeight="1"/>
    <row r="254" spans="8:8" ht="15.75" customHeight="1"/>
    <row r="255" spans="8:8" ht="15.75" customHeight="1"/>
    <row r="256" spans="8:8" ht="15.75" customHeight="1"/>
    <row r="257" spans="8:8" ht="15.75" customHeight="1"/>
    <row r="258" spans="8:8" ht="15.75" customHeight="1"/>
    <row r="259" spans="8:8" ht="15.75" customHeight="1"/>
    <row r="260" spans="8:8" ht="15.75" customHeight="1"/>
    <row r="261" spans="8:8" ht="15.75" customHeight="1"/>
    <row r="262" spans="8:8" ht="15.75" customHeight="1"/>
    <row r="263" spans="8:8" ht="15.75" customHeight="1"/>
    <row r="264" spans="8:8" ht="15.75" customHeight="1"/>
    <row r="265" spans="8:8" ht="15.75" customHeight="1"/>
    <row r="266" spans="8:8" ht="15.75" customHeight="1"/>
    <row r="267" spans="8:8" ht="15.75" customHeight="1"/>
    <row r="268" spans="8:8" ht="15.75" customHeight="1"/>
    <row r="269" spans="8:8" ht="15.75" customHeight="1"/>
    <row r="270" spans="8:8" ht="15.75" customHeight="1"/>
    <row r="271" spans="8:8" ht="15.75" customHeight="1"/>
    <row r="272" spans="8:8" ht="15.75" customHeight="1"/>
    <row r="273" spans="8:8" ht="15.75" customHeight="1"/>
    <row r="274" spans="8:8" ht="15.75" customHeight="1"/>
    <row r="275" spans="8:8" ht="15.75" customHeight="1"/>
    <row r="276" spans="8:8" ht="15.75" customHeight="1"/>
    <row r="277" spans="8:8" ht="15.75" customHeight="1"/>
    <row r="278" spans="8:8" ht="15.75" customHeight="1"/>
    <row r="279" spans="8:8" ht="15.75" customHeight="1"/>
    <row r="280" spans="8:8" ht="15.75" customHeight="1"/>
    <row r="281" spans="8:8" ht="15.75" customHeight="1"/>
    <row r="282" spans="8:8" ht="15.75" customHeight="1"/>
    <row r="283" spans="8:8" ht="15.75" customHeight="1"/>
    <row r="284" spans="8:8" ht="15.75" customHeight="1"/>
    <row r="285" spans="8:8" ht="15.75" customHeight="1"/>
    <row r="286" spans="8:8" ht="15.75" customHeight="1"/>
    <row r="287" spans="8:8" ht="15.75" customHeight="1"/>
    <row r="288" spans="8:8" ht="15.75" customHeight="1"/>
    <row r="289" spans="8:8" ht="15.75" customHeight="1"/>
    <row r="290" spans="8:8" ht="15.75" customHeight="1"/>
    <row r="291" spans="8:8" ht="15.75" customHeight="1"/>
    <row r="292" spans="8:8" ht="15.75" customHeight="1"/>
    <row r="293" spans="8:8" ht="15.75" customHeight="1"/>
    <row r="294" spans="8:8" ht="15.75" customHeight="1"/>
    <row r="295" spans="8:8" ht="15.75" customHeight="1"/>
    <row r="296" spans="8:8" ht="15.75" customHeight="1"/>
    <row r="297" spans="8:8" ht="15.75" customHeight="1"/>
    <row r="298" spans="8:8" ht="15.75" customHeight="1"/>
    <row r="299" spans="8:8" ht="15.75" customHeight="1"/>
    <row r="300" spans="8:8" ht="15.75" customHeight="1"/>
    <row r="301" spans="8:8" ht="15.75" customHeight="1"/>
    <row r="302" spans="8:8" ht="15.75" customHeight="1"/>
    <row r="303" spans="8:8" ht="15.75" customHeight="1"/>
    <row r="304" spans="8:8" ht="15.75" customHeight="1"/>
    <row r="305" spans="8:8" ht="15.75" customHeight="1"/>
    <row r="306" spans="8:8" ht="15.75" customHeight="1"/>
    <row r="307" spans="8:8" ht="15.75" customHeight="1"/>
    <row r="308" spans="8:8" ht="15.75" customHeight="1"/>
    <row r="309" spans="8:8" ht="15.75" customHeight="1"/>
    <row r="310" spans="8:8" ht="15.75" customHeight="1"/>
    <row r="311" spans="8:8" ht="15.75" customHeight="1"/>
    <row r="312" spans="8:8" ht="15.75" customHeight="1"/>
    <row r="313" spans="8:8" ht="15.75" customHeight="1"/>
    <row r="314" spans="8:8" ht="15.75" customHeight="1"/>
    <row r="315" spans="8:8" ht="15.75" customHeight="1"/>
    <row r="316" spans="8:8" ht="15.75" customHeight="1"/>
    <row r="317" spans="8:8" ht="15.75" customHeight="1"/>
    <row r="318" spans="8:8" ht="15.75" customHeight="1"/>
    <row r="319" spans="8:8" ht="15.75" customHeight="1"/>
    <row r="320" spans="8:8" ht="15.75" customHeight="1"/>
    <row r="321" spans="8:8" ht="15.75" customHeight="1"/>
    <row r="322" spans="8:8" ht="15.75" customHeight="1"/>
    <row r="323" spans="8:8" ht="15.75" customHeight="1"/>
    <row r="324" spans="8:8" ht="15.75" customHeight="1"/>
    <row r="325" spans="8:8" ht="15.75" customHeight="1"/>
    <row r="326" spans="8:8" ht="15.75" customHeight="1"/>
    <row r="327" spans="8:8" ht="15.75" customHeight="1"/>
    <row r="328" spans="8:8" ht="15.75" customHeight="1"/>
    <row r="329" spans="8:8" ht="15.75" customHeight="1"/>
    <row r="330" spans="8:8" ht="15.75" customHeight="1"/>
    <row r="331" spans="8:8" ht="15.75" customHeight="1"/>
    <row r="332" spans="8:8" ht="15.75" customHeight="1"/>
    <row r="333" spans="8:8" ht="15.75" customHeight="1"/>
    <row r="334" spans="8:8" ht="15.75" customHeight="1"/>
    <row r="335" spans="8:8" ht="15.75" customHeight="1"/>
    <row r="336" spans="8:8" ht="15.75" customHeight="1"/>
    <row r="337" spans="8:8" ht="15.75" customHeight="1"/>
    <row r="338" spans="8:8" ht="15.75" customHeight="1"/>
    <row r="339" spans="8:8" ht="15.75" customHeight="1"/>
    <row r="340" spans="8:8" ht="15.75" customHeight="1"/>
    <row r="341" spans="8:8" ht="15.75" customHeight="1"/>
    <row r="342" spans="8:8" ht="15.75" customHeight="1"/>
    <row r="343" spans="8:8" ht="15.75" customHeight="1"/>
    <row r="344" spans="8:8" ht="15.75" customHeight="1"/>
    <row r="345" spans="8:8" ht="15.75" customHeight="1"/>
    <row r="346" spans="8:8" ht="15.75" customHeight="1"/>
    <row r="347" spans="8:8" ht="15.75" customHeight="1"/>
    <row r="348" spans="8:8" ht="15.75" customHeight="1"/>
    <row r="349" spans="8:8" ht="15.75" customHeight="1"/>
    <row r="350" spans="8:8" ht="15.75" customHeight="1"/>
    <row r="351" spans="8:8" ht="15.75" customHeight="1"/>
    <row r="352" spans="8:8" ht="15.75" customHeight="1"/>
    <row r="353" spans="8:8" ht="15.75" customHeight="1"/>
    <row r="354" spans="8:8" ht="15.75" customHeight="1"/>
    <row r="355" spans="8:8" ht="15.75" customHeight="1"/>
    <row r="356" spans="8:8" ht="15.75" customHeight="1"/>
    <row r="357" spans="8:8" ht="15.75" customHeight="1"/>
    <row r="358" spans="8:8" ht="15.75" customHeight="1"/>
    <row r="359" spans="8:8" ht="15.75" customHeight="1"/>
    <row r="360" spans="8:8" ht="15.75" customHeight="1"/>
    <row r="361" spans="8:8" ht="15.75" customHeight="1"/>
    <row r="362" spans="8:8" ht="15.75" customHeight="1"/>
    <row r="363" spans="8:8" ht="15.75" customHeight="1"/>
    <row r="364" spans="8:8" ht="15.75" customHeight="1"/>
    <row r="365" spans="8:8" ht="15.75" customHeight="1"/>
    <row r="366" spans="8:8" ht="15.75" customHeight="1"/>
    <row r="367" spans="8:8" ht="15.75" customHeight="1"/>
    <row r="368" spans="8:8" ht="15.75" customHeight="1"/>
    <row r="369" spans="8:8" ht="15.75" customHeight="1"/>
    <row r="370" spans="8:8" ht="15.75" customHeight="1"/>
    <row r="371" spans="8:8" ht="15.75" customHeight="1"/>
    <row r="372" spans="8:8" ht="15.75" customHeight="1"/>
    <row r="373" spans="8:8" ht="15.75" customHeight="1"/>
    <row r="374" spans="8:8" ht="15.75" customHeight="1"/>
    <row r="375" spans="8:8" ht="15.75" customHeight="1"/>
    <row r="376" spans="8:8" ht="15.75" customHeight="1"/>
    <row r="377" spans="8:8" ht="15.75" customHeight="1"/>
    <row r="378" spans="8:8" ht="15.75" customHeight="1"/>
    <row r="379" spans="8:8" ht="15.75" customHeight="1"/>
    <row r="380" spans="8:8" ht="15.75" customHeight="1"/>
    <row r="381" spans="8:8" ht="15.75" customHeight="1"/>
    <row r="382" spans="8:8" ht="15.75" customHeight="1"/>
    <row r="383" spans="8:8" ht="15.75" customHeight="1"/>
    <row r="384" spans="8:8" ht="15.75" customHeight="1"/>
    <row r="385" spans="8:8" ht="15.75" customHeight="1"/>
    <row r="386" spans="8:8" ht="15.75" customHeight="1"/>
    <row r="387" spans="8:8" ht="15.75" customHeight="1"/>
    <row r="388" spans="8:8" ht="15.75" customHeight="1"/>
    <row r="389" spans="8:8" ht="15.75" customHeight="1"/>
    <row r="390" spans="8:8" ht="15.75" customHeight="1"/>
    <row r="391" spans="8:8" ht="15.75" customHeight="1"/>
    <row r="392" spans="8:8" ht="15.75" customHeight="1"/>
    <row r="393" spans="8:8" ht="15.75" customHeight="1"/>
    <row r="394" spans="8:8" ht="15.75" customHeight="1"/>
    <row r="395" spans="8:8" ht="15.75" customHeight="1"/>
    <row r="396" spans="8:8" ht="15.75" customHeight="1"/>
    <row r="397" spans="8:8" ht="15.75" customHeight="1"/>
    <row r="398" spans="8:8" ht="15.75" customHeight="1"/>
    <row r="399" spans="8:8" ht="15.75" customHeight="1"/>
    <row r="400" spans="8:8" ht="15.75" customHeight="1"/>
    <row r="401" spans="8:8" ht="15.75" customHeight="1"/>
    <row r="402" spans="8:8" ht="15.75" customHeight="1"/>
    <row r="403" spans="8:8" ht="15.75" customHeight="1"/>
    <row r="404" spans="8:8" ht="15.75" customHeight="1"/>
    <row r="405" spans="8:8" ht="15.75" customHeight="1"/>
    <row r="406" spans="8:8" ht="15.75" customHeight="1"/>
    <row r="407" spans="8:8" ht="15.75" customHeight="1"/>
    <row r="408" spans="8:8" ht="15.75" customHeight="1"/>
    <row r="409" spans="8:8" ht="15.75" customHeight="1"/>
    <row r="410" spans="8:8" ht="15.75" customHeight="1"/>
    <row r="411" spans="8:8" ht="15.75" customHeight="1"/>
    <row r="412" spans="8:8" ht="15.75" customHeight="1"/>
    <row r="413" spans="8:8" ht="15.75" customHeight="1"/>
    <row r="414" spans="8:8" ht="15.75" customHeight="1"/>
    <row r="415" spans="8:8" ht="15.75" customHeight="1"/>
    <row r="416" spans="8:8" ht="15.75" customHeight="1"/>
    <row r="417" spans="8:8" ht="15.75" customHeight="1"/>
    <row r="418" spans="8:8" ht="15.75" customHeight="1"/>
    <row r="419" spans="8:8" ht="15.75" customHeight="1"/>
    <row r="420" spans="8:8" ht="15.75" customHeight="1"/>
    <row r="421" spans="8:8" ht="15.75" customHeight="1"/>
    <row r="422" spans="8:8" ht="15.75" customHeight="1"/>
    <row r="423" spans="8:8" ht="15.75" customHeight="1"/>
    <row r="424" spans="8:8" ht="15.75" customHeight="1"/>
    <row r="425" spans="8:8" ht="15.75" customHeight="1"/>
    <row r="426" spans="8:8" ht="15.75" customHeight="1"/>
    <row r="427" spans="8:8" ht="15.75" customHeight="1"/>
    <row r="428" spans="8:8" ht="15.75" customHeight="1"/>
    <row r="429" spans="8:8" ht="15.75" customHeight="1"/>
    <row r="430" spans="8:8" ht="15.75" customHeight="1"/>
    <row r="431" spans="8:8" ht="15.75" customHeight="1"/>
    <row r="432" spans="8:8" ht="15.75" customHeight="1"/>
    <row r="433" spans="8:8" ht="15.75" customHeight="1"/>
    <row r="434" spans="8:8" ht="15.75" customHeight="1"/>
    <row r="435" spans="8:8" ht="15.75" customHeight="1"/>
    <row r="436" spans="8:8" ht="15.75" customHeight="1"/>
    <row r="437" spans="8:8" ht="15.75" customHeight="1"/>
    <row r="438" spans="8:8" ht="15.75" customHeight="1"/>
    <row r="439" spans="8:8" ht="15.75" customHeight="1"/>
    <row r="440" spans="8:8" ht="15.75" customHeight="1"/>
    <row r="441" spans="8:8" ht="15.75" customHeight="1"/>
    <row r="442" spans="8:8" ht="15.75" customHeight="1"/>
    <row r="443" spans="8:8" ht="15.75" customHeight="1"/>
    <row r="444" spans="8:8" ht="15.75" customHeight="1"/>
    <row r="445" spans="8:8" ht="15.75" customHeight="1"/>
    <row r="446" spans="8:8" ht="15.75" customHeight="1"/>
    <row r="447" spans="8:8" ht="15.75" customHeight="1"/>
    <row r="448" spans="8:8" ht="15.75" customHeight="1"/>
    <row r="449" spans="8:8" ht="15.75" customHeight="1"/>
    <row r="450" spans="8:8" ht="15.75" customHeight="1"/>
    <row r="451" spans="8:8" ht="15.75" customHeight="1"/>
    <row r="452" spans="8:8" ht="15.75" customHeight="1"/>
    <row r="453" spans="8:8" ht="15.75" customHeight="1"/>
    <row r="454" spans="8:8" ht="15.75" customHeight="1"/>
    <row r="455" spans="8:8" ht="15.75" customHeight="1"/>
    <row r="456" spans="8:8" ht="15.75" customHeight="1"/>
    <row r="457" spans="8:8" ht="15.75" customHeight="1"/>
    <row r="458" spans="8:8" ht="15.75" customHeight="1"/>
    <row r="459" spans="8:8" ht="15.75" customHeight="1"/>
    <row r="460" spans="8:8" ht="15.75" customHeight="1"/>
    <row r="461" spans="8:8" ht="15.75" customHeight="1"/>
    <row r="462" spans="8:8" ht="15.75" customHeight="1"/>
    <row r="463" spans="8:8" ht="15.75" customHeight="1"/>
    <row r="464" spans="8:8" ht="15.75" customHeight="1"/>
    <row r="465" spans="8:8" ht="15.75" customHeight="1"/>
    <row r="466" spans="8:8" ht="15.75" customHeight="1"/>
    <row r="467" spans="8:8" ht="15.75" customHeight="1"/>
    <row r="468" spans="8:8" ht="15.75" customHeight="1"/>
    <row r="469" spans="8:8" ht="15.75" customHeight="1"/>
    <row r="470" spans="8:8" ht="15.75" customHeight="1"/>
    <row r="471" spans="8:8" ht="15.75" customHeight="1"/>
    <row r="472" spans="8:8" ht="15.75" customHeight="1"/>
    <row r="473" spans="8:8" ht="15.75" customHeight="1"/>
    <row r="474" spans="8:8" ht="15.75" customHeight="1"/>
    <row r="475" spans="8:8" ht="15.75" customHeight="1"/>
    <row r="476" spans="8:8" ht="15.75" customHeight="1"/>
    <row r="477" spans="8:8" ht="15.75" customHeight="1"/>
    <row r="478" spans="8:8" ht="15.75" customHeight="1"/>
    <row r="479" spans="8:8" ht="15.75" customHeight="1"/>
    <row r="480" spans="8:8" ht="15.75" customHeight="1"/>
    <row r="481" spans="8:8" ht="15.75" customHeight="1"/>
    <row r="482" spans="8:8" ht="15.75" customHeight="1"/>
    <row r="483" spans="8:8" ht="15.75" customHeight="1"/>
    <row r="484" spans="8:8" ht="15.75" customHeight="1"/>
    <row r="485" spans="8:8" ht="15.75" customHeight="1"/>
    <row r="486" spans="8:8" ht="15.75" customHeight="1"/>
    <row r="487" spans="8:8" ht="15.75" customHeight="1"/>
    <row r="488" spans="8:8" ht="15.75" customHeight="1"/>
    <row r="489" spans="8:8" ht="15.75" customHeight="1"/>
    <row r="490" spans="8:8" ht="15.75" customHeight="1"/>
    <row r="491" spans="8:8" ht="15.75" customHeight="1"/>
    <row r="492" spans="8:8" ht="15.75" customHeight="1"/>
    <row r="493" spans="8:8" ht="15.75" customHeight="1"/>
    <row r="494" spans="8:8" ht="15.75" customHeight="1"/>
    <row r="495" spans="8:8" ht="15.75" customHeight="1"/>
    <row r="496" spans="8:8" ht="15.75" customHeight="1"/>
    <row r="497" spans="8:8" ht="15.75" customHeight="1"/>
    <row r="498" spans="8:8" ht="15.75" customHeight="1"/>
    <row r="499" spans="8:8" ht="15.75" customHeight="1"/>
    <row r="500" spans="8:8" ht="15.75" customHeight="1"/>
    <row r="501" spans="8:8" ht="15.75" customHeight="1"/>
    <row r="502" spans="8:8" ht="15.75" customHeight="1"/>
    <row r="503" spans="8:8" ht="15.75" customHeight="1"/>
    <row r="504" spans="8:8" ht="15.75" customHeight="1"/>
    <row r="505" spans="8:8" ht="15.75" customHeight="1"/>
    <row r="506" spans="8:8" ht="15.75" customHeight="1"/>
    <row r="507" spans="8:8" ht="15.75" customHeight="1"/>
    <row r="508" spans="8:8" ht="15.75" customHeight="1"/>
    <row r="509" spans="8:8" ht="15.75" customHeight="1"/>
    <row r="510" spans="8:8" ht="15.75" customHeight="1"/>
    <row r="511" spans="8:8" ht="15.75" customHeight="1"/>
    <row r="512" spans="8:8" ht="15.75" customHeight="1"/>
    <row r="513" spans="8:8" ht="15.75" customHeight="1"/>
    <row r="514" spans="8:8" ht="15.75" customHeight="1"/>
    <row r="515" spans="8:8" ht="15.75" customHeight="1"/>
    <row r="516" spans="8:8" ht="15.75" customHeight="1"/>
    <row r="517" spans="8:8" ht="15.75" customHeight="1"/>
    <row r="518" spans="8:8" ht="15.75" customHeight="1"/>
    <row r="519" spans="8:8" ht="15.75" customHeight="1"/>
    <row r="520" spans="8:8" ht="15.75" customHeight="1"/>
    <row r="521" spans="8:8" ht="15.75" customHeight="1"/>
    <row r="522" spans="8:8" ht="15.75" customHeight="1"/>
    <row r="523" spans="8:8" ht="15.75" customHeight="1"/>
    <row r="524" spans="8:8" ht="15.75" customHeight="1"/>
    <row r="525" spans="8:8" ht="15.75" customHeight="1"/>
    <row r="526" spans="8:8" ht="15.75" customHeight="1"/>
    <row r="527" spans="8:8" ht="15.75" customHeight="1"/>
    <row r="528" spans="8:8" ht="15.75" customHeight="1"/>
    <row r="529" spans="8:8" ht="15.75" customHeight="1"/>
    <row r="530" spans="8:8" ht="15.75" customHeight="1"/>
    <row r="531" spans="8:8" ht="15.75" customHeight="1"/>
    <row r="532" spans="8:8" ht="15.75" customHeight="1"/>
    <row r="533" spans="8:8" ht="15.75" customHeight="1"/>
    <row r="534" spans="8:8" ht="15.75" customHeight="1"/>
    <row r="535" spans="8:8" ht="15.75" customHeight="1"/>
    <row r="536" spans="8:8" ht="15.75" customHeight="1"/>
    <row r="537" spans="8:8" ht="15.75" customHeight="1"/>
    <row r="538" spans="8:8" ht="15.75" customHeight="1"/>
    <row r="539" spans="8:8" ht="15.75" customHeight="1"/>
    <row r="540" spans="8:8" ht="15.75" customHeight="1"/>
    <row r="541" spans="8:8" ht="15.75" customHeight="1"/>
    <row r="542" spans="8:8" ht="15.75" customHeight="1"/>
    <row r="543" spans="8:8" ht="15.75" customHeight="1"/>
    <row r="544" spans="8:8" ht="15.75" customHeight="1"/>
    <row r="545" spans="8:8" ht="15.75" customHeight="1"/>
    <row r="546" spans="8:8" ht="15.75" customHeight="1"/>
    <row r="547" spans="8:8" ht="15.75" customHeight="1"/>
    <row r="548" spans="8:8" ht="15.75" customHeight="1"/>
    <row r="549" spans="8:8" ht="15.75" customHeight="1"/>
    <row r="550" spans="8:8" ht="15.75" customHeight="1"/>
    <row r="551" spans="8:8" ht="15.75" customHeight="1"/>
    <row r="552" spans="8:8" ht="15.75" customHeight="1"/>
    <row r="553" spans="8:8" ht="15.75" customHeight="1"/>
    <row r="554" spans="8:8" ht="15.75" customHeight="1"/>
    <row r="555" spans="8:8" ht="15.75" customHeight="1"/>
    <row r="556" spans="8:8" ht="15.75" customHeight="1"/>
    <row r="557" spans="8:8" ht="15.75" customHeight="1"/>
    <row r="558" spans="8:8" ht="15.75" customHeight="1"/>
    <row r="559" spans="8:8" ht="15.75" customHeight="1"/>
    <row r="560" spans="8:8" ht="15.75" customHeight="1"/>
    <row r="561" spans="8:8" ht="15.75" customHeight="1"/>
    <row r="562" spans="8:8" ht="15.75" customHeight="1"/>
    <row r="563" spans="8:8" ht="15.75" customHeight="1"/>
    <row r="564" spans="8:8" ht="15.75" customHeight="1"/>
    <row r="565" spans="8:8" ht="15.75" customHeight="1"/>
    <row r="566" spans="8:8" ht="15.75" customHeight="1"/>
    <row r="567" spans="8:8" ht="15.75" customHeight="1"/>
    <row r="568" spans="8:8" ht="15.75" customHeight="1"/>
    <row r="569" spans="8:8" ht="15.75" customHeight="1"/>
    <row r="570" spans="8:8" ht="15.75" customHeight="1"/>
    <row r="571" spans="8:8" ht="15.75" customHeight="1"/>
    <row r="572" spans="8:8" ht="15.75" customHeight="1"/>
    <row r="573" spans="8:8" ht="15.75" customHeight="1"/>
    <row r="574" spans="8:8" ht="15.75" customHeight="1"/>
    <row r="575" spans="8:8" ht="15.75" customHeight="1"/>
    <row r="576" spans="8:8" ht="15.75" customHeight="1"/>
    <row r="577" spans="8:8" ht="15.75" customHeight="1"/>
    <row r="578" spans="8:8" ht="15.75" customHeight="1"/>
    <row r="579" spans="8:8" ht="15.75" customHeight="1"/>
    <row r="580" spans="8:8" ht="15.75" customHeight="1"/>
    <row r="581" spans="8:8" ht="15.75" customHeight="1"/>
    <row r="582" spans="8:8" ht="15.75" customHeight="1"/>
    <row r="583" spans="8:8" ht="15.75" customHeight="1"/>
    <row r="584" spans="8:8" ht="15.75" customHeight="1"/>
    <row r="585" spans="8:8" ht="15.75" customHeight="1"/>
    <row r="586" spans="8:8" ht="15.75" customHeight="1"/>
    <row r="587" spans="8:8" ht="15.75" customHeight="1"/>
    <row r="588" spans="8:8" ht="15.75" customHeight="1"/>
    <row r="589" spans="8:8" ht="15.75" customHeight="1"/>
    <row r="590" spans="8:8" ht="15.75" customHeight="1"/>
    <row r="591" spans="8:8" ht="15.75" customHeight="1"/>
    <row r="592" spans="8:8" ht="15.75" customHeight="1"/>
    <row r="593" spans="8:8" ht="15.75" customHeight="1"/>
    <row r="594" spans="8:8" ht="15.75" customHeight="1"/>
    <row r="595" spans="8:8" ht="15.75" customHeight="1"/>
    <row r="596" spans="8:8" ht="15.75" customHeight="1"/>
    <row r="597" spans="8:8" ht="15.75" customHeight="1"/>
    <row r="598" spans="8:8" ht="15.75" customHeight="1"/>
    <row r="599" spans="8:8" ht="15.75" customHeight="1"/>
    <row r="600" spans="8:8" ht="15.75" customHeight="1"/>
    <row r="601" spans="8:8" ht="15.75" customHeight="1"/>
    <row r="602" spans="8:8" ht="15.75" customHeight="1"/>
    <row r="603" spans="8:8" ht="15.75" customHeight="1"/>
    <row r="604" spans="8:8" ht="15.75" customHeight="1"/>
    <row r="605" spans="8:8" ht="15.75" customHeight="1"/>
    <row r="606" spans="8:8" ht="15.75" customHeight="1"/>
    <row r="607" spans="8:8" ht="15.75" customHeight="1"/>
    <row r="608" spans="8:8" ht="15.75" customHeight="1"/>
    <row r="609" spans="8:8" ht="15.75" customHeight="1"/>
    <row r="610" spans="8:8" ht="15.75" customHeight="1"/>
    <row r="611" spans="8:8" ht="15.75" customHeight="1"/>
    <row r="612" spans="8:8" ht="15.75" customHeight="1"/>
    <row r="613" spans="8:8" ht="15.75" customHeight="1"/>
    <row r="614" spans="8:8" ht="15.75" customHeight="1"/>
    <row r="615" spans="8:8" ht="15.75" customHeight="1"/>
    <row r="616" spans="8:8" ht="15.75" customHeight="1"/>
    <row r="617" spans="8:8" ht="15.75" customHeight="1"/>
    <row r="618" spans="8:8" ht="15.75" customHeight="1"/>
    <row r="619" spans="8:8" ht="15.75" customHeight="1"/>
    <row r="620" spans="8:8" ht="15.75" customHeight="1"/>
    <row r="621" spans="8:8" ht="15.75" customHeight="1"/>
    <row r="622" spans="8:8" ht="15.75" customHeight="1"/>
    <row r="623" spans="8:8" ht="15.75" customHeight="1"/>
    <row r="624" spans="8:8" ht="15.75" customHeight="1"/>
    <row r="625" spans="8:8" ht="15.75" customHeight="1"/>
    <row r="626" spans="8:8" ht="15.75" customHeight="1"/>
    <row r="627" spans="8:8" ht="15.75" customHeight="1"/>
    <row r="628" spans="8:8" ht="15.75" customHeight="1"/>
    <row r="629" spans="8:8" ht="15.75" customHeight="1"/>
    <row r="630" spans="8:8" ht="15.75" customHeight="1"/>
    <row r="631" spans="8:8" ht="15.75" customHeight="1"/>
    <row r="632" spans="8:8" ht="15.75" customHeight="1"/>
    <row r="633" spans="8:8" ht="15.75" customHeight="1"/>
    <row r="634" spans="8:8" ht="15.75" customHeight="1"/>
    <row r="635" spans="8:8" ht="15.75" customHeight="1"/>
    <row r="636" spans="8:8" ht="15.75" customHeight="1"/>
    <row r="637" spans="8:8" ht="15.75" customHeight="1"/>
    <row r="638" spans="8:8" ht="15.75" customHeight="1"/>
    <row r="639" spans="8:8" ht="15.75" customHeight="1"/>
    <row r="640" spans="8:8" ht="15.75" customHeight="1"/>
    <row r="641" spans="8:8" ht="15.75" customHeight="1"/>
    <row r="642" spans="8:8" ht="15.75" customHeight="1"/>
    <row r="643" spans="8:8" ht="15.75" customHeight="1"/>
    <row r="644" spans="8:8" ht="15.75" customHeight="1"/>
    <row r="645" spans="8:8" ht="15.75" customHeight="1"/>
    <row r="646" spans="8:8" ht="15.75" customHeight="1"/>
    <row r="647" spans="8:8" ht="15.75" customHeight="1"/>
    <row r="648" spans="8:8" ht="15.75" customHeight="1"/>
    <row r="649" spans="8:8" ht="15.75" customHeight="1"/>
    <row r="650" spans="8:8" ht="15.75" customHeight="1"/>
    <row r="651" spans="8:8" ht="15.75" customHeight="1"/>
    <row r="652" spans="8:8" ht="15.75" customHeight="1"/>
    <row r="653" spans="8:8" ht="15.75" customHeight="1"/>
    <row r="654" spans="8:8" ht="15.75" customHeight="1"/>
    <row r="655" spans="8:8" ht="15.75" customHeight="1"/>
    <row r="656" spans="8:8" ht="15.75" customHeight="1"/>
    <row r="657" spans="8:8" ht="15.75" customHeight="1"/>
    <row r="658" spans="8:8" ht="15.75" customHeight="1"/>
    <row r="659" spans="8:8" ht="15.75" customHeight="1"/>
    <row r="660" spans="8:8" ht="15.75" customHeight="1"/>
    <row r="661" spans="8:8" ht="15.75" customHeight="1"/>
    <row r="662" spans="8:8" ht="15.75" customHeight="1"/>
    <row r="663" spans="8:8" ht="15.75" customHeight="1"/>
    <row r="664" spans="8:8" ht="15.75" customHeight="1"/>
    <row r="665" spans="8:8" ht="15.75" customHeight="1"/>
    <row r="666" spans="8:8" ht="15.75" customHeight="1"/>
    <row r="667" spans="8:8" ht="15.75" customHeight="1"/>
    <row r="668" spans="8:8" ht="15.75" customHeight="1"/>
    <row r="669" spans="8:8" ht="15.75" customHeight="1"/>
    <row r="670" spans="8:8" ht="15.75" customHeight="1"/>
    <row r="671" spans="8:8" ht="15.75" customHeight="1"/>
    <row r="672" spans="8:8" ht="15.75" customHeight="1"/>
    <row r="673" spans="8:8" ht="15.75" customHeight="1"/>
    <row r="674" spans="8:8" ht="15.75" customHeight="1"/>
    <row r="675" spans="8:8" ht="15.75" customHeight="1"/>
    <row r="676" spans="8:8" ht="15.75" customHeight="1"/>
    <row r="677" spans="8:8" ht="15.75" customHeight="1"/>
    <row r="678" spans="8:8" ht="15.75" customHeight="1"/>
    <row r="679" spans="8:8" ht="15.75" customHeight="1"/>
    <row r="680" spans="8:8" ht="15.75" customHeight="1"/>
    <row r="681" spans="8:8" ht="15.75" customHeight="1"/>
    <row r="682" spans="8:8" ht="15.75" customHeight="1"/>
    <row r="683" spans="8:8" ht="15.75" customHeight="1"/>
    <row r="684" spans="8:8" ht="15.75" customHeight="1"/>
    <row r="685" spans="8:8" ht="15.75" customHeight="1"/>
    <row r="686" spans="8:8" ht="15.75" customHeight="1"/>
    <row r="687" spans="8:8" ht="15.75" customHeight="1"/>
    <row r="688" spans="8:8" ht="15.75" customHeight="1"/>
    <row r="689" spans="8:8" ht="15.75" customHeight="1"/>
    <row r="690" spans="8:8" ht="15.75" customHeight="1"/>
    <row r="691" spans="8:8" ht="15.75" customHeight="1"/>
    <row r="692" spans="8:8" ht="15.75" customHeight="1"/>
    <row r="693" spans="8:8" ht="15.75" customHeight="1"/>
    <row r="694" spans="8:8" ht="15.75" customHeight="1"/>
    <row r="695" spans="8:8" ht="15.75" customHeight="1"/>
    <row r="696" spans="8:8" ht="15.75" customHeight="1"/>
    <row r="697" spans="8:8" ht="15.75" customHeight="1"/>
    <row r="698" spans="8:8" ht="15.75" customHeight="1"/>
    <row r="699" spans="8:8" ht="15.75" customHeight="1"/>
    <row r="700" spans="8:8" ht="15.75" customHeight="1"/>
    <row r="701" spans="8:8" ht="15.75" customHeight="1"/>
    <row r="702" spans="8:8" ht="15.75" customHeight="1"/>
    <row r="703" spans="8:8" ht="15.75" customHeight="1"/>
    <row r="704" spans="8:8" ht="15.75" customHeight="1"/>
    <row r="705" spans="8:8" ht="15.75" customHeight="1"/>
    <row r="706" spans="8:8" ht="15.75" customHeight="1"/>
    <row r="707" spans="8:8" ht="15.75" customHeight="1"/>
    <row r="708" spans="8:8" ht="15.75" customHeight="1"/>
    <row r="709" spans="8:8" ht="15.75" customHeight="1"/>
    <row r="710" spans="8:8" ht="15.75" customHeight="1"/>
    <row r="711" spans="8:8" ht="15.75" customHeight="1"/>
    <row r="712" spans="8:8" ht="15.75" customHeight="1"/>
    <row r="713" spans="8:8" ht="15.75" customHeight="1"/>
    <row r="714" spans="8:8" ht="15.75" customHeight="1"/>
    <row r="715" spans="8:8" ht="15.75" customHeight="1"/>
    <row r="716" spans="8:8" ht="15.75" customHeight="1"/>
    <row r="717" spans="8:8" ht="15.75" customHeight="1"/>
    <row r="718" spans="8:8" ht="15.75" customHeight="1"/>
    <row r="719" spans="8:8" ht="15.75" customHeight="1"/>
    <row r="720" spans="8:8" ht="15.75" customHeight="1"/>
    <row r="721" spans="8:8" ht="15.75" customHeight="1"/>
    <row r="722" spans="8:8" ht="15.75" customHeight="1"/>
    <row r="723" spans="8:8" ht="15.75" customHeight="1"/>
    <row r="724" spans="8:8" ht="15.75" customHeight="1"/>
    <row r="725" spans="8:8" ht="15.75" customHeight="1"/>
    <row r="726" spans="8:8" ht="15.75" customHeight="1"/>
    <row r="727" spans="8:8" ht="15.75" customHeight="1"/>
    <row r="728" spans="8:8" ht="15.75" customHeight="1"/>
    <row r="729" spans="8:8" ht="15.75" customHeight="1"/>
    <row r="730" spans="8:8" ht="15.75" customHeight="1"/>
    <row r="731" spans="8:8" ht="15.75" customHeight="1"/>
    <row r="732" spans="8:8" ht="15.75" customHeight="1"/>
    <row r="733" spans="8:8" ht="15.75" customHeight="1"/>
    <row r="734" spans="8:8" ht="15.75" customHeight="1"/>
    <row r="735" spans="8:8" ht="15.75" customHeight="1"/>
    <row r="736" spans="8:8" ht="15.75" customHeight="1"/>
    <row r="737" spans="8:8" ht="15.75" customHeight="1"/>
    <row r="738" spans="8:8" ht="15.75" customHeight="1"/>
    <row r="739" spans="8:8" ht="15.75" customHeight="1"/>
    <row r="740" spans="8:8" ht="15.75" customHeight="1"/>
    <row r="741" spans="8:8" ht="15.75" customHeight="1"/>
    <row r="742" spans="8:8" ht="15.75" customHeight="1"/>
    <row r="743" spans="8:8" ht="15.75" customHeight="1"/>
    <row r="744" spans="8:8" ht="15.75" customHeight="1"/>
    <row r="745" spans="8:8" ht="15.75" customHeight="1"/>
    <row r="746" spans="8:8" ht="15.75" customHeight="1"/>
    <row r="747" spans="8:8" ht="15.75" customHeight="1"/>
    <row r="748" spans="8:8" ht="15.75" customHeight="1"/>
    <row r="749" spans="8:8" ht="15.75" customHeight="1"/>
    <row r="750" spans="8:8" ht="15.75" customHeight="1"/>
    <row r="751" spans="8:8" ht="15.75" customHeight="1"/>
    <row r="752" spans="8:8" ht="15.75" customHeight="1"/>
    <row r="753" spans="8:8" ht="15.75" customHeight="1"/>
    <row r="754" spans="8:8" ht="15.75" customHeight="1"/>
    <row r="755" spans="8:8" ht="15.75" customHeight="1"/>
    <row r="756" spans="8:8" ht="15.75" customHeight="1"/>
    <row r="757" spans="8:8" ht="15.75" customHeight="1"/>
    <row r="758" spans="8:8" ht="15.75" customHeight="1"/>
    <row r="759" spans="8:8" ht="15.75" customHeight="1"/>
    <row r="760" spans="8:8" ht="15.75" customHeight="1"/>
    <row r="761" spans="8:8" ht="15.75" customHeight="1"/>
    <row r="762" spans="8:8" ht="15.75" customHeight="1"/>
    <row r="763" spans="8:8" ht="15.75" customHeight="1"/>
    <row r="764" spans="8:8" ht="15.75" customHeight="1"/>
    <row r="765" spans="8:8" ht="15.75" customHeight="1"/>
    <row r="766" spans="8:8" ht="15.75" customHeight="1"/>
    <row r="767" spans="8:8" ht="15.75" customHeight="1"/>
    <row r="768" spans="8:8" ht="15.75" customHeight="1"/>
    <row r="769" spans="8:8" ht="15.75" customHeight="1"/>
    <row r="770" spans="8:8" ht="15.75" customHeight="1"/>
    <row r="771" spans="8:8" ht="15.75" customHeight="1"/>
    <row r="772" spans="8:8" ht="15.75" customHeight="1"/>
    <row r="773" spans="8:8" ht="15.75" customHeight="1"/>
    <row r="774" spans="8:8" ht="15.75" customHeight="1"/>
    <row r="775" spans="8:8" ht="15.75" customHeight="1"/>
    <row r="776" spans="8:8" ht="15.75" customHeight="1"/>
    <row r="777" spans="8:8" ht="15.75" customHeight="1"/>
    <row r="778" spans="8:8" ht="15.75" customHeight="1"/>
    <row r="779" spans="8:8" ht="15.75" customHeight="1"/>
    <row r="780" spans="8:8" ht="15.75" customHeight="1"/>
    <row r="781" spans="8:8" ht="15.75" customHeight="1"/>
    <row r="782" spans="8:8" ht="15.75" customHeight="1"/>
    <row r="783" spans="8:8" ht="15.75" customHeight="1"/>
    <row r="784" spans="8:8" ht="15.75" customHeight="1"/>
    <row r="785" spans="8:8" ht="15.75" customHeight="1"/>
    <row r="786" spans="8:8" ht="15.75" customHeight="1"/>
    <row r="787" spans="8:8" ht="15.75" customHeight="1"/>
    <row r="788" spans="8:8" ht="15.75" customHeight="1"/>
    <row r="789" spans="8:8" ht="15.75" customHeight="1"/>
    <row r="790" spans="8:8" ht="15.75" customHeight="1"/>
    <row r="791" spans="8:8" ht="15.75" customHeight="1"/>
    <row r="792" spans="8:8" ht="15.75" customHeight="1"/>
    <row r="793" spans="8:8" ht="15.75" customHeight="1"/>
    <row r="794" spans="8:8" ht="15.75" customHeight="1"/>
    <row r="795" spans="8:8" ht="15.75" customHeight="1"/>
    <row r="796" spans="8:8" ht="15.75" customHeight="1"/>
    <row r="797" spans="8:8" ht="15.75" customHeight="1"/>
    <row r="798" spans="8:8" ht="15.75" customHeight="1"/>
    <row r="799" spans="8:8" ht="15.75" customHeight="1"/>
    <row r="800" spans="8:8" ht="15.75" customHeight="1"/>
    <row r="801" spans="8:8" ht="15.75" customHeight="1"/>
    <row r="802" spans="8:8" ht="15.75" customHeight="1"/>
    <row r="803" spans="8:8" ht="15.75" customHeight="1"/>
    <row r="804" spans="8:8" ht="15.75" customHeight="1"/>
    <row r="805" spans="8:8" ht="15.75" customHeight="1"/>
    <row r="806" spans="8:8" ht="15.75" customHeight="1"/>
    <row r="807" spans="8:8" ht="15.75" customHeight="1"/>
    <row r="808" spans="8:8" ht="15.75" customHeight="1"/>
    <row r="809" spans="8:8" ht="15.75" customHeight="1"/>
    <row r="810" spans="8:8" ht="15.75" customHeight="1"/>
    <row r="811" spans="8:8" ht="15.75" customHeight="1"/>
    <row r="812" spans="8:8" ht="15.75" customHeight="1"/>
    <row r="813" spans="8:8" ht="15.75" customHeight="1"/>
    <row r="814" spans="8:8" ht="15.75" customHeight="1"/>
    <row r="815" spans="8:8" ht="15.75" customHeight="1"/>
    <row r="816" spans="8:8" ht="15.75" customHeight="1"/>
    <row r="817" spans="8:8" ht="15.75" customHeight="1"/>
    <row r="818" spans="8:8" ht="15.75" customHeight="1"/>
    <row r="819" spans="8:8" ht="15.75" customHeight="1"/>
    <row r="820" spans="8:8" ht="15.75" customHeight="1"/>
    <row r="821" spans="8:8" ht="15.75" customHeight="1"/>
    <row r="822" spans="8:8" ht="15.75" customHeight="1"/>
    <row r="823" spans="8:8" ht="15.75" customHeight="1"/>
    <row r="824" spans="8:8" ht="15.75" customHeight="1"/>
    <row r="825" spans="8:8" ht="15.75" customHeight="1"/>
    <row r="826" spans="8:8" ht="15.75" customHeight="1"/>
    <row r="827" spans="8:8" ht="15.75" customHeight="1"/>
    <row r="828" spans="8:8" ht="15.75" customHeight="1"/>
    <row r="829" spans="8:8" ht="15.75" customHeight="1"/>
    <row r="830" spans="8:8" ht="15.75" customHeight="1"/>
    <row r="831" spans="8:8" ht="15.75" customHeight="1"/>
    <row r="832" spans="8:8" ht="15.75" customHeight="1"/>
    <row r="833" spans="8:8" ht="15.75" customHeight="1"/>
    <row r="834" spans="8:8" ht="15.75" customHeight="1"/>
    <row r="835" spans="8:8" ht="15.75" customHeight="1"/>
    <row r="836" spans="8:8" ht="15.75" customHeight="1"/>
    <row r="837" spans="8:8" ht="15.75" customHeight="1"/>
    <row r="838" spans="8:8" ht="15.75" customHeight="1"/>
    <row r="839" spans="8:8" ht="15.75" customHeight="1"/>
    <row r="840" spans="8:8" ht="15.75" customHeight="1"/>
    <row r="841" spans="8:8" ht="15.75" customHeight="1"/>
    <row r="842" spans="8:8" ht="15.75" customHeight="1"/>
    <row r="843" spans="8:8" ht="15.75" customHeight="1"/>
    <row r="844" spans="8:8" ht="15.75" customHeight="1"/>
    <row r="845" spans="8:8" ht="15.75" customHeight="1"/>
    <row r="846" spans="8:8" ht="15.75" customHeight="1"/>
    <row r="847" spans="8:8" ht="15.75" customHeight="1"/>
    <row r="848" spans="8:8" ht="15.75" customHeight="1"/>
    <row r="849" spans="8:8" ht="15.75" customHeight="1"/>
    <row r="850" spans="8:8" ht="15.75" customHeight="1"/>
    <row r="851" spans="8:8" ht="15.75" customHeight="1"/>
    <row r="852" spans="8:8" ht="15.75" customHeight="1"/>
    <row r="853" spans="8:8" ht="15.75" customHeight="1"/>
    <row r="854" spans="8:8" ht="15.75" customHeight="1"/>
    <row r="855" spans="8:8" ht="15.75" customHeight="1"/>
    <row r="856" spans="8:8" ht="15.75" customHeight="1"/>
    <row r="857" spans="8:8" ht="15.75" customHeight="1"/>
    <row r="858" spans="8:8" ht="15.75" customHeight="1"/>
    <row r="859" spans="8:8" ht="15.75" customHeight="1"/>
    <row r="860" spans="8:8" ht="15.75" customHeight="1"/>
    <row r="861" spans="8:8" ht="15.75" customHeight="1"/>
    <row r="862" spans="8:8" ht="15.75" customHeight="1"/>
    <row r="863" spans="8:8" ht="15.75" customHeight="1"/>
    <row r="864" spans="8:8" ht="15.75" customHeight="1"/>
    <row r="865" spans="8:8" ht="15.75" customHeight="1"/>
    <row r="866" spans="8:8" ht="15.75" customHeight="1"/>
    <row r="867" spans="8:8" ht="15.75" customHeight="1"/>
    <row r="868" spans="8:8" ht="15.75" customHeight="1"/>
    <row r="869" spans="8:8" ht="15.75" customHeight="1"/>
    <row r="870" spans="8:8" ht="15.75" customHeight="1"/>
    <row r="871" spans="8:8" ht="15.75" customHeight="1"/>
    <row r="872" spans="8:8" ht="15.75" customHeight="1"/>
    <row r="873" spans="8:8" ht="15.75" customHeight="1"/>
    <row r="874" spans="8:8" ht="15.75" customHeight="1"/>
    <row r="875" spans="8:8" ht="15.75" customHeight="1"/>
    <row r="876" spans="8:8" ht="15.75" customHeight="1"/>
    <row r="877" spans="8:8" ht="15.75" customHeight="1"/>
    <row r="878" spans="8:8" ht="15.75" customHeight="1"/>
    <row r="879" spans="8:8" ht="15.75" customHeight="1"/>
    <row r="880" spans="8:8" ht="15.75" customHeight="1"/>
    <row r="881" spans="8:8" ht="15.75" customHeight="1"/>
    <row r="882" spans="8:8" ht="15.75" customHeight="1"/>
    <row r="883" spans="8:8" ht="15.75" customHeight="1"/>
    <row r="884" spans="8:8" ht="15.75" customHeight="1"/>
    <row r="885" spans="8:8" ht="15.75" customHeight="1"/>
    <row r="886" spans="8:8" ht="15.75" customHeight="1"/>
    <row r="887" spans="8:8" ht="15.75" customHeight="1"/>
    <row r="888" spans="8:8" ht="15.75" customHeight="1"/>
    <row r="889" spans="8:8" ht="15.75" customHeight="1"/>
    <row r="890" spans="8:8" ht="15.75" customHeight="1"/>
    <row r="891" spans="8:8" ht="15.75" customHeight="1"/>
    <row r="892" spans="8:8" ht="15.75" customHeight="1"/>
    <row r="893" spans="8:8" ht="15.75" customHeight="1"/>
    <row r="894" spans="8:8" ht="15.75" customHeight="1"/>
    <row r="895" spans="8:8" ht="15.75" customHeight="1"/>
    <row r="896" spans="8:8" ht="15.75" customHeight="1"/>
    <row r="897" spans="8:8" ht="15.75" customHeight="1"/>
    <row r="898" spans="8:8" ht="15.75" customHeight="1"/>
    <row r="899" spans="8:8" ht="15.75" customHeight="1"/>
    <row r="900" spans="8:8" ht="15.75" customHeight="1"/>
    <row r="901" spans="8:8" ht="15.75" customHeight="1"/>
    <row r="902" spans="8:8" ht="15.75" customHeight="1"/>
    <row r="903" spans="8:8" ht="15.75" customHeight="1"/>
    <row r="904" spans="8:8" ht="15.75" customHeight="1"/>
    <row r="905" spans="8:8" ht="15.75" customHeight="1"/>
    <row r="906" spans="8:8" ht="15.75" customHeight="1"/>
    <row r="907" spans="8:8" ht="15.75" customHeight="1"/>
    <row r="908" spans="8:8" ht="15.75" customHeight="1"/>
    <row r="909" spans="8:8" ht="15.75" customHeight="1"/>
    <row r="910" spans="8:8" ht="15.75" customHeight="1"/>
    <row r="911" spans="8:8" ht="15.75" customHeight="1"/>
    <row r="912" spans="8:8" ht="15.75" customHeight="1"/>
    <row r="913" spans="8:8" ht="15.75" customHeight="1"/>
    <row r="914" spans="8:8" ht="15.75" customHeight="1"/>
    <row r="915" spans="8:8" ht="15.75" customHeight="1"/>
    <row r="916" spans="8:8" ht="15.75" customHeight="1"/>
    <row r="917" spans="8:8" ht="15.75" customHeight="1"/>
    <row r="918" spans="8:8" ht="15.75" customHeight="1"/>
    <row r="919" spans="8:8" ht="15.75" customHeight="1"/>
    <row r="920" spans="8:8" ht="15.75" customHeight="1"/>
    <row r="921" spans="8:8" ht="15.75" customHeight="1"/>
    <row r="922" spans="8:8" ht="15.75" customHeight="1"/>
    <row r="923" spans="8:8" ht="15.75" customHeight="1"/>
    <row r="924" spans="8:8" ht="15.75" customHeight="1"/>
    <row r="925" spans="8:8" ht="15.75" customHeight="1"/>
    <row r="926" spans="8:8" ht="15.75" customHeight="1"/>
    <row r="927" spans="8:8" ht="15.75" customHeight="1"/>
    <row r="928" spans="8:8" ht="15.75" customHeight="1"/>
    <row r="929" spans="8:8" ht="15.75" customHeight="1"/>
    <row r="930" spans="8:8" ht="15.75" customHeight="1"/>
    <row r="931" spans="8:8" ht="15.75" customHeight="1"/>
    <row r="932" spans="8:8" ht="15.75" customHeight="1"/>
    <row r="933" spans="8:8" ht="15.75" customHeight="1"/>
    <row r="934" spans="8:8" ht="15.75" customHeight="1"/>
    <row r="935" spans="8:8" ht="15.75" customHeight="1"/>
    <row r="936" spans="8:8" ht="15.75" customHeight="1"/>
    <row r="937" spans="8:8" ht="15.75" customHeight="1"/>
    <row r="938" spans="8:8" ht="15.75" customHeight="1"/>
    <row r="939" spans="8:8" ht="15.75" customHeight="1"/>
    <row r="940" spans="8:8" ht="15.75" customHeight="1"/>
    <row r="941" spans="8:8" ht="15.75" customHeight="1"/>
    <row r="942" spans="8:8" ht="15.75" customHeight="1"/>
    <row r="943" spans="8:8" ht="15.75" customHeight="1"/>
    <row r="944" spans="8:8" ht="15.75" customHeight="1"/>
    <row r="945" spans="8:8" ht="15.75" customHeight="1"/>
    <row r="946" spans="8:8" ht="15.75" customHeight="1"/>
    <row r="947" spans="8:8" ht="15.75" customHeight="1"/>
    <row r="948" spans="8:8" ht="15.75" customHeight="1"/>
    <row r="949" spans="8:8" ht="15.75" customHeight="1"/>
    <row r="950" spans="8:8" ht="15.75" customHeight="1"/>
    <row r="951" spans="8:8" ht="15.75" customHeight="1"/>
    <row r="952" spans="8:8" ht="15.75" customHeight="1"/>
    <row r="953" spans="8:8" ht="15.75" customHeight="1"/>
    <row r="954" spans="8:8" ht="15.75" customHeight="1"/>
    <row r="955" spans="8:8" ht="15.75" customHeight="1"/>
    <row r="956" spans="8:8" ht="15.75" customHeight="1"/>
    <row r="957" spans="8:8" ht="15.75" customHeight="1"/>
    <row r="958" spans="8:8" ht="15.75" customHeight="1"/>
    <row r="959" spans="8:8" ht="15.75" customHeight="1"/>
    <row r="960" spans="8:8" ht="15.75" customHeight="1"/>
    <row r="961" spans="8:8" ht="15.75" customHeight="1"/>
    <row r="962" spans="8:8" ht="15.75" customHeight="1"/>
    <row r="963" spans="8:8" ht="15.75" customHeight="1"/>
    <row r="964" spans="8:8" ht="15.75" customHeight="1"/>
    <row r="965" spans="8:8" ht="15.75" customHeight="1"/>
    <row r="966" spans="8:8" ht="15.75" customHeight="1"/>
    <row r="967" spans="8:8" ht="15.75" customHeight="1"/>
    <row r="968" spans="8:8" ht="15.75" customHeight="1"/>
    <row r="969" spans="8:8" ht="15.75" customHeight="1"/>
    <row r="970" spans="8:8" ht="15.75" customHeight="1"/>
    <row r="971" spans="8:8" ht="15.75" customHeight="1"/>
    <row r="972" spans="8:8" ht="15.75" customHeight="1"/>
    <row r="973" spans="8:8" ht="15.75" customHeight="1"/>
    <row r="974" spans="8:8" ht="15.75" customHeight="1"/>
    <row r="975" spans="8:8" ht="15.75" customHeight="1"/>
    <row r="976" spans="8:8" ht="15.75" customHeight="1"/>
    <row r="977" spans="8:8" ht="15.75" customHeight="1"/>
    <row r="978" spans="8:8" ht="15.75" customHeight="1"/>
    <row r="979" spans="8:8" ht="15.75" customHeight="1"/>
    <row r="980" spans="8:8" ht="15.75" customHeight="1"/>
    <row r="981" spans="8:8" ht="15.75" customHeight="1"/>
    <row r="982" spans="8:8" ht="15.75" customHeight="1"/>
    <row r="983" spans="8:8" ht="15.75" customHeight="1"/>
    <row r="984" spans="8:8" ht="15.75" customHeight="1"/>
    <row r="985" spans="8:8" ht="15.75" customHeight="1"/>
    <row r="986" spans="8:8" ht="15.75" customHeight="1"/>
    <row r="987" spans="8:8" ht="15.75" customHeight="1"/>
    <row r="988" spans="8:8" ht="15.75" customHeight="1"/>
    <row r="989" spans="8:8" ht="15.75" customHeight="1"/>
    <row r="990" spans="8:8" ht="15.75" customHeight="1"/>
    <row r="991" spans="8:8" ht="15.75" customHeight="1"/>
    <row r="992" spans="8:8" ht="15.75" customHeight="1"/>
    <row r="993" spans="8:8" ht="15.75" customHeight="1"/>
    <row r="994" spans="8:8" ht="15.75" customHeight="1"/>
    <row r="995" spans="8:8" ht="15.75" customHeight="1"/>
    <row r="996" spans="8:8" ht="15.75" customHeight="1"/>
    <row r="997" spans="8:8" ht="15.75" customHeight="1"/>
    <row r="998" spans="8:8" ht="15.75" customHeight="1"/>
    <row r="999" spans="8:8" ht="15.75" customHeight="1"/>
    <row r="1000" spans="8:8" ht="15.75" customHeight="1"/>
  </sheetData>
  <mergeCells count="36">
    <mergeCell ref="G15:S15"/>
    <mergeCell ref="B22:E22"/>
    <mergeCell ref="G18:S18"/>
    <mergeCell ref="B19:E19"/>
    <mergeCell ref="G21:S21"/>
    <mergeCell ref="B18:E18"/>
    <mergeCell ref="G24:S24"/>
    <mergeCell ref="G23:S23"/>
    <mergeCell ref="A5:T5"/>
    <mergeCell ref="A1:T1"/>
    <mergeCell ref="J6:L6"/>
    <mergeCell ref="G6:I6"/>
    <mergeCell ref="P6:R6"/>
    <mergeCell ref="A2:T2"/>
    <mergeCell ref="M6:O6"/>
    <mergeCell ref="A11:T11"/>
    <mergeCell ref="A27:T27"/>
    <mergeCell ref="G16:S16"/>
    <mergeCell ref="B17:E17"/>
    <mergeCell ref="G25:S25"/>
    <mergeCell ref="B26:E26"/>
    <mergeCell ref="B23:E23"/>
    <mergeCell ref="G14:S14"/>
    <mergeCell ref="B14:E14"/>
    <mergeCell ref="B16:E16"/>
    <mergeCell ref="B20:E20"/>
    <mergeCell ref="B15:E15"/>
    <mergeCell ref="G17:S17"/>
    <mergeCell ref="G26:S26"/>
    <mergeCell ref="B21:E21"/>
    <mergeCell ref="G19:S19"/>
    <mergeCell ref="B25:E25"/>
    <mergeCell ref="G20:S20"/>
    <mergeCell ref="B24:E24"/>
    <mergeCell ref="A13:T13"/>
    <mergeCell ref="G22:S22"/>
  </mergeCells>
  <pageMargins left="0.75" right="0.75" top="1.0" bottom="1.0" header="0.0" footer="0.0"/>
  <pageSetup paperSize="9" fitToWidth="0" fitToHeight="0" orientation="landscape"/>
  <headerFooter>
    <oddFooter>&amp;C_x000D_#000000 DSV internal</oddFooter>
  </headerFooter>
</worksheet>
</file>

<file path=docProps/app.xml><?xml version="1.0" encoding="utf-8"?>
<Properties xmlns="http://schemas.openxmlformats.org/officeDocument/2006/extended-properties">
  <Application>Kingsoft Office</Application>
  <DocSecurity>0</DocSecurity>
  <ScaleCrop>0</ScaleCrop>
  <LinksUpToDate>0</LinksUpToDate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cp:lastModifiedBy>Krzysztof Zaraza - DSV</cp:lastModifiedBy>
  <dcterms:created xsi:type="dcterms:W3CDTF">2026-06-02T06:58:15Z</dcterms:created>
  <dcterms:modified xsi:type="dcterms:W3CDTF">2026-06-16T15:48:22Z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6c1fee-2f04-49ca-98cf-bcf61896c7fa_ContentBits">
    <vt:lpwstr>2</vt:lpwstr>
  </property>
  <property fmtid="{D5CDD505-2E9C-101B-9397-08002B2CF9AE}" pid="3" name="MSIP_Label_fc6c1fee-2f04-49ca-98cf-bcf61896c7fa_Tag">
    <vt:lpwstr>10, 3, 0, 1</vt:lpwstr>
  </property>
  <property fmtid="{D5CDD505-2E9C-101B-9397-08002B2CF9AE}" pid="4" name="KSOReadingLayout">
    <vt:bool>false</vt:bool>
  </property>
  <property fmtid="{D5CDD505-2E9C-101B-9397-08002B2CF9AE}" pid="5" name="MSIP_Label_fc6c1fee-2f04-49ca-98cf-bcf61896c7fa_SiteId">
    <vt:lpwstr>4a90c23a-3ece-4ef2-b857-522f23b8204c</vt:lpwstr>
  </property>
  <property fmtid="{D5CDD505-2E9C-101B-9397-08002B2CF9AE}" pid="6" name="MSIP_Label_fc6c1fee-2f04-49ca-98cf-bcf61896c7fa_ActionId">
    <vt:lpwstr>79faf6d9-b91e-41e4-98ae-e90a4d6833e9</vt:lpwstr>
  </property>
  <property fmtid="{D5CDD505-2E9C-101B-9397-08002B2CF9AE}" pid="7" name="MSIP_Label_fc6c1fee-2f04-49ca-98cf-bcf61896c7fa_SetDate">
    <vt:lpwstr>2026-06-02T13:01:15Z</vt:lpwstr>
  </property>
  <property fmtid="{D5CDD505-2E9C-101B-9397-08002B2CF9AE}" pid="8" name="MSIP_Label_fc6c1fee-2f04-49ca-98cf-bcf61896c7fa_Method">
    <vt:lpwstr>Standard</vt:lpwstr>
  </property>
  <property fmtid="{D5CDD505-2E9C-101B-9397-08002B2CF9AE}" pid="9" name="MSIP_Label_fc6c1fee-2f04-49ca-98cf-bcf61896c7fa_Enabled">
    <vt:lpwstr>true</vt:lpwstr>
  </property>
  <property fmtid="{D5CDD505-2E9C-101B-9397-08002B2CF9AE}" pid="10" name="ICV">
    <vt:lpwstr>a702067b8ba142e0b4d8512232253d48</vt:lpwstr>
  </property>
  <property fmtid="{D5CDD505-2E9C-101B-9397-08002B2CF9AE}" pid="11" name="MSIP_Label_fc6c1fee-2f04-49ca-98cf-bcf61896c7fa_Name">
    <vt:lpwstr>Internal</vt:lpwstr>
  </property>
</Properties>
</file>