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krzysztof_zaraza_dsv_com/Documents/GitHub/RackIT-1/Wyniki/"/>
    </mc:Choice>
  </mc:AlternateContent>
  <xr:revisionPtr revIDLastSave="27" documentId="11_82223B99A33BB0C33B1FD8E67024FC66E38B1093" xr6:coauthVersionLast="47" xr6:coauthVersionMax="47" xr10:uidLastSave="{EE0AF3C9-4E48-48BA-A11C-C62C28DFE189}"/>
  <bookViews>
    <workbookView xWindow="-120" yWindow="-120" windowWidth="29040" windowHeight="15720" xr2:uid="{00000000-000D-0000-FFFF-FFFF00000000}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" l="1"/>
  <c r="S9" i="3"/>
  <c r="S8" i="3"/>
  <c r="S11" i="2"/>
  <c r="S10" i="2"/>
  <c r="S9" i="2"/>
  <c r="S8" i="2"/>
  <c r="S12" i="1"/>
  <c r="S11" i="1"/>
  <c r="S10" i="1"/>
  <c r="S9" i="1"/>
  <c r="S8" i="1"/>
</calcChain>
</file>

<file path=xl/sharedStrings.xml><?xml version="1.0" encoding="utf-8"?>
<sst xmlns="http://schemas.openxmlformats.org/spreadsheetml/2006/main" count="306" uniqueCount="160">
  <si>
    <t>PUSH – Klatka · Barki · Triceps</t>
  </si>
  <si>
    <t>Progresja: gdy ostatnia seria (do upadku) przekracza górny pułap zakresu → następny trening dodaj 2,5 kg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</si>
  <si>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</si>
  <si>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</si>
  <si>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</si>
  <si>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</si>
  <si>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</si>
  <si>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</si>
  <si>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</si>
  <si>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</si>
  <si>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</si>
  <si>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</si>
  <si>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</si>
  <si>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</si>
  <si>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</si>
  <si>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</si>
  <si>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</si>
  <si>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</si>
  <si>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</si>
  <si>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</si>
  <si>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</si>
  <si>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</si>
  <si>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</si>
  <si>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</si>
  <si>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piramida – każda seria ciężej</t>
  </si>
  <si>
    <t>Wyciskanie hantlami – skośna +30°</t>
  </si>
  <si>
    <t>8–10</t>
  </si>
  <si>
    <t>2 × 25 kg</t>
  </si>
  <si>
    <t>2x25</t>
  </si>
  <si>
    <t>RIR 2  –  10 powt., 2 w zapasie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</si>
  <si>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</si>
  <si>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</si>
  <si>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</si>
  <si>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</si>
  <si>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</si>
  <si>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</si>
  <si>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</si>
  <si>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</si>
  <si>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</si>
  <si>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RIR 2  –  12–13 powt., 2 w zapasie</t>
  </si>
  <si>
    <t>RIR 1  –  13–14 powt., 1 w zapasie</t>
  </si>
  <si>
    <t>RIR 0  –  DO UPADKU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</si>
  <si>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</si>
  <si>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</si>
  <si>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</si>
  <si>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</si>
  <si>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</si>
  <si>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</si>
  <si>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bw</t>
  </si>
  <si>
    <t>tułów pionowo, łokcie blisko ciała</t>
  </si>
  <si>
    <t>Kolory RIR: zielony=RIR 3, niebieski=RIR 2, pomarańczowy=RIR 1, czerwony=RIR 0/upadek. Szare pola = seria nie w planie.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</si>
  <si>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</si>
  <si>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</si>
  <si>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</si>
  <si>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</si>
  <si>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</si>
  <si>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</si>
  <si>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</si>
  <si>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</si>
  <si>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</si>
  <si>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</si>
  <si>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</si>
  <si>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</si>
  <si>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</si>
  <si>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</si>
  <si>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</si>
  <si>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</si>
  <si>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</si>
  <si>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</si>
  <si>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</si>
  <si>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</si>
  <si>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</si>
  <si>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</si>
  <si>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PULL – Plecy · Biceps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</si>
  <si>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</si>
  <si>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</si>
  <si>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</si>
  <si>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</si>
  <si>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</si>
  <si>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</si>
  <si>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</si>
  <si>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</si>
  <si>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</si>
  <si>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</si>
  <si>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</si>
  <si>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</si>
  <si>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Wiosłowanie sztangą</t>
  </si>
  <si>
    <t xml:space="preserve"> 8-10</t>
  </si>
  <si>
    <t>Uginanie hantlami stojąc</t>
  </si>
  <si>
    <t>10–12</t>
  </si>
  <si>
    <t>2 x 12</t>
  </si>
  <si>
    <t>supinacja w górze, biceps zmęczony drążkiem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</si>
  <si>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</si>
  <si>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</si>
  <si>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</si>
  <si>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</si>
  <si>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</si>
  <si>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</si>
  <si>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</si>
  <si>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</si>
  <si>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</si>
  <si>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</si>
  <si>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</si>
  <si>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</si>
  <si>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</si>
  <si>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</si>
  <si>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</si>
  <si>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</si>
  <si>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</si>
  <si>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</si>
  <si>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</si>
  <si>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</si>
  <si>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</si>
  <si>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</si>
  <si>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</si>
  <si>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</si>
  <si>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NOGI – Uda · Pośladki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</si>
  <si>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</si>
  <si>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</si>
  <si>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</si>
  <si>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</si>
  <si>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</si>
  <si>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</si>
  <si>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</si>
  <si>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</si>
  <si>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</si>
  <si>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</si>
  <si>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</si>
  <si>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</si>
  <si>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</si>
  <si>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</si>
  <si>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</si>
  <si>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</si>
  <si>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</si>
  <si>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</si>
  <si>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</si>
  <si>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</si>
  <si>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</si>
  <si>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</si>
  <si>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</si>
  <si>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</si>
  <si>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</si>
  <si>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</si>
  <si>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</si>
  <si>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</si>
  <si>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</si>
  <si>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</si>
  <si>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</si>
  <si>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</si>
  <si>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</si>
  <si>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</si>
  <si>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</si>
  <si>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</si>
  <si>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</si>
  <si>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</si>
  <si>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</si>
  <si>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</si>
  <si>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</si>
  <si>
    <t>RIR 0  –  DO UPADKU min 9</t>
  </si>
  <si>
    <t>RIR 0  –  DO UPADKU min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</si>
</sst>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name val="Calibri"/>
    </font>
    <font>
      <b/>
      <sz val="13"/>
      <color rgb="FFFFFFFF"/>
      <name val="Arial"/>
    </font>
    <font>
      <sz val="11"/>
      <name val="Calibri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sz val="11"/>
      <color rgb="FF000000"/>
      <name val="Calibri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sz val="11"/>
      <color rgb="FF000000"/>
      <name val="Calibri"/>
    </font>
    <font>
      <i/>
      <sz val="9"/>
      <color rgb="FFBF360C"/>
      <name val="Arial"/>
    </font>
    <font>
      <i/>
      <sz val="9"/>
      <color rgb="FF1B5E20"/>
      <name val="Arial"/>
    </font>
    <font>
      <b/>
      <sz val="10"/>
      <color rgb="FF1B5E20"/>
      <name val="Arial"/>
    </font>
    <font>
      <sz val="9"/>
      <color rgb="FFBF360C"/>
      <name val="Arial"/>
    </font>
    <font>
      <b/>
      <sz val="9"/>
      <color rgb="FF1B4020"/>
      <name val="Arial"/>
    </font>
    <font>
      <i/>
      <sz val="9"/>
      <color rgb="FFE65100"/>
      <name val="Arial"/>
    </font>
    <font>
      <b/>
      <sz val="10"/>
      <color rgb="FFE65100"/>
      <name val="Arial"/>
    </font>
    <font>
      <b/>
      <sz val="9"/>
      <color rgb="FFBF360C"/>
      <name val="Arial"/>
    </font>
  </fonts>
  <fills count="22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1B4020"/>
        <bgColor rgb="FF1B4020"/>
      </patternFill>
    </fill>
    <fill>
      <patternFill patternType="solid">
        <fgColor rgb="FFF1F8E9"/>
        <bgColor rgb="FFF1F8E9"/>
      </patternFill>
    </fill>
    <fill>
      <patternFill patternType="solid">
        <fgColor rgb="FFE65100"/>
        <bgColor rgb="FFE65100"/>
      </patternFill>
    </fill>
    <fill>
      <patternFill patternType="solid">
        <fgColor rgb="FFFFE0B2"/>
        <bgColor rgb="FFFFE0B2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0" borderId="0" xfId="0" applyFont="1" applyAlignment="1"/>
    <xf numFmtId="0" fontId="7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/>
    <xf numFmtId="0" fontId="21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/>
    <xf numFmtId="0" fontId="5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21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/>
    <xf numFmtId="0" fontId="30" fillId="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left" vertical="center"/>
    </xf>
    <xf numFmtId="0" fontId="21" fillId="21" borderId="1" xfId="0" applyFont="1" applyFill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/>
    <xf numFmtId="0" fontId="3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2" fillId="12" borderId="2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left" vertical="center"/>
    </xf>
    <xf numFmtId="0" fontId="22" fillId="8" borderId="2" xfId="0" applyFont="1" applyFill="1" applyBorder="1" applyAlignment="1">
      <alignment horizontal="left" vertical="center"/>
    </xf>
    <xf numFmtId="0" fontId="24" fillId="12" borderId="2" xfId="0" applyFont="1" applyFill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7" fillId="11" borderId="2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7" fillId="16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left" vertical="center"/>
    </xf>
    <xf numFmtId="0" fontId="22" fillId="17" borderId="2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22" fillId="21" borderId="2" xfId="0" applyFont="1" applyFill="1" applyBorder="1" applyAlignment="1">
      <alignment horizontal="left" vertical="center"/>
    </xf>
    <xf numFmtId="0" fontId="24" fillId="21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 wrapText="1"/>
    </xf>
    <xf numFmtId="0" fontId="4" fillId="2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A5" workbookViewId="0">
      <selection activeCell="A15" sqref="A15:T15"/>
    </sheetView>
  </sheetViews>
  <sheetFormatPr defaultColWidth="14" defaultRowHeight="15" customHeight="1" x14ac:dyDescent="0.25"/>
  <cols>
    <col min="1" max="1" width="15.5703125" customWidth="1"/>
    <col min="2" max="2" width="33.85546875" customWidth="1"/>
    <col min="3" max="3" width="5.85546875" customWidth="1"/>
    <col min="4" max="4" width="6.7109375" customWidth="1"/>
    <col min="5" max="5" width="22.140625" customWidth="1"/>
    <col min="6" max="6" width="13.85546875" customWidth="1"/>
    <col min="7" max="7" width="6.140625" customWidth="1"/>
    <col min="8" max="8" width="5.5703125" customWidth="1"/>
    <col min="9" max="9" width="20" customWidth="1"/>
    <col min="10" max="10" width="6.140625" customWidth="1"/>
    <col min="11" max="11" width="5.5703125" customWidth="1"/>
    <col min="12" max="12" width="20" customWidth="1"/>
    <col min="13" max="13" width="6.140625" customWidth="1"/>
    <col min="14" max="14" width="5.5703125" customWidth="1"/>
    <col min="15" max="15" width="20" customWidth="1"/>
    <col min="16" max="16" width="6.140625" customWidth="1"/>
    <col min="17" max="17" width="5.5703125" customWidth="1"/>
    <col min="18" max="18" width="17.85546875" customWidth="1"/>
    <col min="19" max="19" width="19.140625" customWidth="1"/>
    <col min="20" max="20" width="28.140625" customWidth="1"/>
    <col min="21" max="26" width="8.7109375" customWidth="1"/>
  </cols>
  <sheetData>
    <row r="1" spans="1:24" ht="27.75" customHeight="1" x14ac:dyDescent="0.2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4" ht="18" customHeight="1" x14ac:dyDescent="0.25">
      <c r="A2" s="62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4" ht="7.5" customHeight="1" x14ac:dyDescent="0.25"/>
    <row r="4" spans="1:24" ht="7.5" customHeight="1" x14ac:dyDescent="0.25"/>
    <row r="5" spans="1:24" ht="19.5" customHeight="1" x14ac:dyDescent="0.25">
      <c r="A5" s="63" t="s">
        <v>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4" ht="15.75" customHeight="1" x14ac:dyDescent="0.25">
      <c r="A6" s="1"/>
      <c r="B6" s="1"/>
      <c r="C6" s="1"/>
      <c r="D6" s="1"/>
      <c r="E6" s="1"/>
      <c r="F6" s="1"/>
      <c r="G6" s="66" t="s">
        <v>3</v>
      </c>
      <c r="H6" s="67"/>
      <c r="I6" s="68"/>
      <c r="J6" s="66" t="s">
        <v>4</v>
      </c>
      <c r="K6" s="67"/>
      <c r="L6" s="68"/>
      <c r="M6" s="66" t="s">
        <v>5</v>
      </c>
      <c r="N6" s="67"/>
      <c r="O6" s="68"/>
      <c r="P6" s="66" t="s">
        <v>6</v>
      </c>
      <c r="Q6" s="67"/>
      <c r="R6" s="68"/>
      <c r="S6" s="1"/>
      <c r="T6" s="1"/>
    </row>
    <row r="7" spans="1:24" ht="37.5" customHeigh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13</v>
      </c>
      <c r="K7" s="2" t="s">
        <v>14</v>
      </c>
      <c r="L7" s="2" t="s">
        <v>15</v>
      </c>
      <c r="M7" s="2" t="s">
        <v>13</v>
      </c>
      <c r="N7" s="2" t="s">
        <v>14</v>
      </c>
      <c r="O7" s="2" t="s">
        <v>15</v>
      </c>
      <c r="P7" s="2" t="s">
        <v>13</v>
      </c>
      <c r="Q7" s="2" t="s">
        <v>14</v>
      </c>
      <c r="R7" s="2" t="s">
        <v>15</v>
      </c>
      <c r="S7" s="2" t="s">
        <v>16</v>
      </c>
      <c r="T7" s="2" t="s">
        <v>17</v>
      </c>
    </row>
    <row r="8" spans="1:24" ht="36" customHeight="1" x14ac:dyDescent="0.25">
      <c r="A8" s="3">
        <v>1</v>
      </c>
      <c r="B8" s="4" t="s">
        <v>18</v>
      </c>
      <c r="C8" s="5">
        <v>4</v>
      </c>
      <c r="D8" s="5" t="s">
        <v>19</v>
      </c>
      <c r="E8" s="6">
        <v>60</v>
      </c>
      <c r="F8" s="7" t="s">
        <v>20</v>
      </c>
      <c r="G8" s="5">
        <v>60</v>
      </c>
      <c r="H8" s="5"/>
      <c r="I8" s="8" t="s">
        <v>21</v>
      </c>
      <c r="J8" s="5">
        <v>65</v>
      </c>
      <c r="K8" s="5"/>
      <c r="L8" s="9" t="s">
        <v>22</v>
      </c>
      <c r="M8" s="5">
        <v>70</v>
      </c>
      <c r="N8" s="5"/>
      <c r="O8" s="10" t="s">
        <v>23</v>
      </c>
      <c r="P8" s="5">
        <v>75</v>
      </c>
      <c r="Q8" s="5"/>
      <c r="R8" s="11" t="s">
        <v>158</v>
      </c>
      <c r="S8" s="5" t="str">
        <f>IF(Q8="","–",IF(ISNUMBER(Q8),IF(Q8&gt;8,"✓ TAK – dodaj 2,5 kg","✗ NIE – zostań z ciężarem"),"–"))</f>
        <v>–</v>
      </c>
      <c r="T8" s="12" t="s">
        <v>24</v>
      </c>
    </row>
    <row r="9" spans="1:24" ht="36" customHeight="1" x14ac:dyDescent="0.25">
      <c r="A9" s="13">
        <v>2</v>
      </c>
      <c r="B9" s="14" t="s">
        <v>25</v>
      </c>
      <c r="C9" s="15">
        <v>3</v>
      </c>
      <c r="D9" s="15" t="s">
        <v>26</v>
      </c>
      <c r="E9" s="16" t="s">
        <v>27</v>
      </c>
      <c r="F9" s="7" t="s">
        <v>20</v>
      </c>
      <c r="G9" s="15" t="s">
        <v>28</v>
      </c>
      <c r="H9" s="15"/>
      <c r="I9" s="9" t="s">
        <v>29</v>
      </c>
      <c r="J9" s="15" t="s">
        <v>28</v>
      </c>
      <c r="K9" s="15"/>
      <c r="L9" s="10" t="s">
        <v>30</v>
      </c>
      <c r="M9" s="15" t="s">
        <v>28</v>
      </c>
      <c r="N9" s="15"/>
      <c r="O9" s="11" t="s">
        <v>159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31</v>
      </c>
    </row>
    <row r="10" spans="1:24" ht="36" customHeight="1" x14ac:dyDescent="0.25">
      <c r="A10" s="3">
        <v>3</v>
      </c>
      <c r="B10" s="4" t="s">
        <v>32</v>
      </c>
      <c r="C10" s="5">
        <v>4</v>
      </c>
      <c r="D10" s="5" t="s">
        <v>33</v>
      </c>
      <c r="E10" s="6" t="s">
        <v>34</v>
      </c>
      <c r="F10" s="7" t="s">
        <v>20</v>
      </c>
      <c r="G10" s="5">
        <v>30</v>
      </c>
      <c r="H10" s="5"/>
      <c r="I10" s="8" t="s">
        <v>35</v>
      </c>
      <c r="J10" s="5">
        <v>35</v>
      </c>
      <c r="K10" s="5"/>
      <c r="L10" s="9" t="s">
        <v>36</v>
      </c>
      <c r="M10" s="5">
        <v>40</v>
      </c>
      <c r="N10" s="5"/>
      <c r="O10" s="10" t="s">
        <v>30</v>
      </c>
      <c r="P10" s="5">
        <v>45</v>
      </c>
      <c r="Q10" s="5"/>
      <c r="R10" s="11" t="s">
        <v>158</v>
      </c>
      <c r="S10" s="5" t="str">
        <f>IF(Q10="","–",IF(ISNUMBER(Q10),IF(Q10&gt;10,"✓ TAK – dodaj 2,5 kg","✗ NIE – zostań z ciężarem"),"–"))</f>
        <v>–</v>
      </c>
      <c r="T10" s="19"/>
    </row>
    <row r="11" spans="1:24" ht="36" customHeight="1" x14ac:dyDescent="0.25">
      <c r="A11" s="13">
        <v>4</v>
      </c>
      <c r="B11" s="14" t="s">
        <v>37</v>
      </c>
      <c r="C11" s="15">
        <v>3</v>
      </c>
      <c r="D11" s="15" t="s">
        <v>38</v>
      </c>
      <c r="E11" s="16">
        <v>6</v>
      </c>
      <c r="F11" s="7" t="s">
        <v>20</v>
      </c>
      <c r="G11" s="15">
        <v>6</v>
      </c>
      <c r="H11" s="15"/>
      <c r="I11" s="9" t="s">
        <v>39</v>
      </c>
      <c r="J11" s="15">
        <v>6</v>
      </c>
      <c r="K11" s="15"/>
      <c r="L11" s="10" t="s">
        <v>40</v>
      </c>
      <c r="M11" s="15">
        <v>6</v>
      </c>
      <c r="N11" s="15"/>
      <c r="O11" s="11" t="s">
        <v>41</v>
      </c>
      <c r="P11" s="17"/>
      <c r="Q11" s="17"/>
      <c r="R11" s="17"/>
      <c r="S11" s="15" t="str">
        <f>IF(N11="","–",IF(ISNUMBER(N11),IF(N11&gt;15,"✓ TAK – dodaj 2,5 kg","✗ NIE – zostań z ciężarem"),"–"))</f>
        <v>–</v>
      </c>
      <c r="T11" s="18" t="s">
        <v>42</v>
      </c>
    </row>
    <row r="12" spans="1:24" ht="36" customHeight="1" x14ac:dyDescent="0.25">
      <c r="A12" s="3">
        <v>5</v>
      </c>
      <c r="B12" s="4" t="s">
        <v>43</v>
      </c>
      <c r="C12" s="5">
        <v>4</v>
      </c>
      <c r="D12" s="5" t="s">
        <v>44</v>
      </c>
      <c r="E12" s="6" t="s">
        <v>45</v>
      </c>
      <c r="F12" s="7" t="s">
        <v>20</v>
      </c>
      <c r="G12" s="5">
        <v>-12.5</v>
      </c>
      <c r="H12" s="5"/>
      <c r="I12" s="8" t="s">
        <v>46</v>
      </c>
      <c r="J12" s="5">
        <v>-9.4</v>
      </c>
      <c r="K12" s="5"/>
      <c r="L12" s="9" t="s">
        <v>29</v>
      </c>
      <c r="M12" s="5">
        <v>-6.25</v>
      </c>
      <c r="N12" s="5"/>
      <c r="O12" s="10" t="s">
        <v>47</v>
      </c>
      <c r="P12" s="5" t="s">
        <v>48</v>
      </c>
      <c r="Q12" s="5"/>
      <c r="R12" s="11" t="s">
        <v>41</v>
      </c>
      <c r="S12" s="5" t="str">
        <f>IF(Q12="","–",IF(ISNUMBER(Q12),IF(Q12&gt;12,"✓ TAK – dodaj 2,5 kg","✗ NIE – zostań z ciężarem"),"–"))</f>
        <v>–</v>
      </c>
      <c r="T12" s="12" t="s">
        <v>49</v>
      </c>
      <c r="X12" s="20">
        <v>34</v>
      </c>
    </row>
    <row r="13" spans="1:24" ht="15.75" customHeight="1" x14ac:dyDescent="0.25">
      <c r="A13" s="64" t="s">
        <v>50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5" spans="1:24" ht="21.75" customHeight="1" x14ac:dyDescent="0.25">
      <c r="A15" s="65" t="s">
        <v>51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</row>
    <row r="16" spans="1:24" ht="27.75" customHeight="1" x14ac:dyDescent="0.25">
      <c r="A16" s="21" t="s">
        <v>52</v>
      </c>
      <c r="B16" s="74" t="s">
        <v>53</v>
      </c>
      <c r="C16" s="67"/>
      <c r="D16" s="67"/>
      <c r="E16" s="68"/>
      <c r="F16" s="21" t="s">
        <v>54</v>
      </c>
      <c r="G16" s="74" t="s">
        <v>55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8"/>
      <c r="T16" s="22"/>
    </row>
    <row r="17" spans="1:20" ht="24" customHeight="1" x14ac:dyDescent="0.25">
      <c r="A17" s="23" t="s">
        <v>56</v>
      </c>
      <c r="B17" s="69" t="s">
        <v>57</v>
      </c>
      <c r="C17" s="67"/>
      <c r="D17" s="67"/>
      <c r="E17" s="68"/>
      <c r="F17" s="24" t="s">
        <v>58</v>
      </c>
      <c r="G17" s="72" t="s">
        <v>59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8"/>
      <c r="T17" s="25"/>
    </row>
    <row r="18" spans="1:20" ht="24" customHeight="1" x14ac:dyDescent="0.25">
      <c r="A18" s="26" t="s">
        <v>56</v>
      </c>
      <c r="B18" s="71" t="s">
        <v>60</v>
      </c>
      <c r="C18" s="67"/>
      <c r="D18" s="67"/>
      <c r="E18" s="68"/>
      <c r="F18" s="27" t="s">
        <v>61</v>
      </c>
      <c r="G18" s="70" t="s">
        <v>62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8"/>
      <c r="T18" s="28"/>
    </row>
    <row r="19" spans="1:20" ht="24" customHeight="1" x14ac:dyDescent="0.25">
      <c r="A19" s="23" t="s">
        <v>63</v>
      </c>
      <c r="B19" s="69" t="s">
        <v>64</v>
      </c>
      <c r="C19" s="67"/>
      <c r="D19" s="67"/>
      <c r="E19" s="68"/>
      <c r="F19" s="24" t="s">
        <v>65</v>
      </c>
      <c r="G19" s="72" t="s">
        <v>66</v>
      </c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8"/>
      <c r="T19" s="25"/>
    </row>
    <row r="20" spans="1:20" ht="24" customHeight="1" x14ac:dyDescent="0.25">
      <c r="A20" s="26" t="s">
        <v>63</v>
      </c>
      <c r="B20" s="71" t="s">
        <v>67</v>
      </c>
      <c r="C20" s="67"/>
      <c r="D20" s="67"/>
      <c r="E20" s="68"/>
      <c r="F20" s="27" t="s">
        <v>65</v>
      </c>
      <c r="G20" s="70" t="s">
        <v>68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8"/>
      <c r="T20" s="28"/>
    </row>
    <row r="21" spans="1:20" ht="24" customHeight="1" x14ac:dyDescent="0.25">
      <c r="A21" s="23" t="s">
        <v>69</v>
      </c>
      <c r="B21" s="69" t="s">
        <v>70</v>
      </c>
      <c r="C21" s="67"/>
      <c r="D21" s="67"/>
      <c r="E21" s="68"/>
      <c r="F21" s="24" t="s">
        <v>65</v>
      </c>
      <c r="G21" s="72" t="s">
        <v>71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8"/>
      <c r="T21" s="25"/>
    </row>
    <row r="22" spans="1:20" ht="18" customHeight="1" x14ac:dyDescent="0.25">
      <c r="A22" s="73" t="s">
        <v>72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B21:E21"/>
    <mergeCell ref="M6:O6"/>
    <mergeCell ref="G19:S19"/>
    <mergeCell ref="A22:T22"/>
    <mergeCell ref="J6:L6"/>
    <mergeCell ref="B20:E20"/>
    <mergeCell ref="G6:I6"/>
    <mergeCell ref="G16:S16"/>
    <mergeCell ref="B16:E16"/>
    <mergeCell ref="G21:S21"/>
    <mergeCell ref="B19:E19"/>
    <mergeCell ref="G20:S20"/>
    <mergeCell ref="B18:E18"/>
    <mergeCell ref="B17:E17"/>
    <mergeCell ref="G17:S17"/>
    <mergeCell ref="G18:S18"/>
    <mergeCell ref="A1:T1"/>
    <mergeCell ref="A2:T2"/>
    <mergeCell ref="A5:T5"/>
    <mergeCell ref="A13:T13"/>
    <mergeCell ref="A15:T15"/>
    <mergeCell ref="P6:R6"/>
  </mergeCells>
  <pageMargins left="0.75" right="0.75" top="1" bottom="1" header="0" footer="0"/>
  <pageSetup paperSize="9" fitToWidth="0" fitToHeight="0" orientation="landscape"/>
  <headerFooter>
    <oddFooter>&amp;C_x000D_#000000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selection sqref="A1:T1"/>
    </sheetView>
  </sheetViews>
  <sheetFormatPr defaultColWidth="14" defaultRowHeight="15" customHeight="1" x14ac:dyDescent="0.25"/>
  <cols>
    <col min="1" max="1" width="13.140625" customWidth="1"/>
    <col min="2" max="2" width="24" customWidth="1"/>
    <col min="3" max="3" width="5.85546875" customWidth="1"/>
    <col min="4" max="4" width="6.7109375" customWidth="1"/>
    <col min="5" max="6" width="13.85546875" customWidth="1"/>
    <col min="7" max="7" width="6.140625" customWidth="1"/>
    <col min="8" max="8" width="5.5703125" customWidth="1"/>
    <col min="9" max="9" width="19" customWidth="1"/>
    <col min="10" max="10" width="6.140625" customWidth="1"/>
    <col min="11" max="11" width="5.5703125" customWidth="1"/>
    <col min="12" max="12" width="19" customWidth="1"/>
    <col min="13" max="13" width="6.140625" customWidth="1"/>
    <col min="14" max="14" width="5.5703125" customWidth="1"/>
    <col min="15" max="15" width="20" customWidth="1"/>
    <col min="16" max="16" width="6.140625" customWidth="1"/>
    <col min="17" max="17" width="5.5703125" customWidth="1"/>
    <col min="18" max="18" width="18" customWidth="1"/>
    <col min="19" max="19" width="15.7109375" customWidth="1"/>
    <col min="20" max="20" width="22.7109375" customWidth="1"/>
    <col min="21" max="26" width="8.7109375" customWidth="1"/>
  </cols>
  <sheetData>
    <row r="1" spans="1:20" ht="27.75" customHeight="1" x14ac:dyDescent="0.25">
      <c r="A1" s="75" t="s">
        <v>73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7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7.5" customHeight="1" x14ac:dyDescent="0.25"/>
    <row r="4" spans="1:20" ht="7.5" customHeight="1" x14ac:dyDescent="0.25"/>
    <row r="5" spans="1:20" ht="19.5" customHeight="1" x14ac:dyDescent="0.25">
      <c r="A5" s="77" t="s">
        <v>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75" customHeight="1" x14ac:dyDescent="0.25">
      <c r="A6" s="29"/>
      <c r="B6" s="29"/>
      <c r="C6" s="29"/>
      <c r="D6" s="29"/>
      <c r="E6" s="29"/>
      <c r="F6" s="29"/>
      <c r="G6" s="80" t="s">
        <v>3</v>
      </c>
      <c r="H6" s="67"/>
      <c r="I6" s="68"/>
      <c r="J6" s="80" t="s">
        <v>4</v>
      </c>
      <c r="K6" s="67"/>
      <c r="L6" s="68"/>
      <c r="M6" s="80" t="s">
        <v>5</v>
      </c>
      <c r="N6" s="67"/>
      <c r="O6" s="68"/>
      <c r="P6" s="80" t="s">
        <v>6</v>
      </c>
      <c r="Q6" s="67"/>
      <c r="R6" s="68"/>
      <c r="S6" s="29"/>
      <c r="T6" s="29"/>
    </row>
    <row r="7" spans="1:20" ht="37.5" customHeight="1" x14ac:dyDescent="0.25">
      <c r="A7" s="30" t="s">
        <v>7</v>
      </c>
      <c r="B7" s="30" t="s">
        <v>8</v>
      </c>
      <c r="C7" s="30" t="s">
        <v>9</v>
      </c>
      <c r="D7" s="30" t="s">
        <v>10</v>
      </c>
      <c r="E7" s="30" t="s">
        <v>11</v>
      </c>
      <c r="F7" s="30" t="s">
        <v>12</v>
      </c>
      <c r="G7" s="30" t="s">
        <v>13</v>
      </c>
      <c r="H7" s="30" t="s">
        <v>14</v>
      </c>
      <c r="I7" s="30" t="s">
        <v>15</v>
      </c>
      <c r="J7" s="30" t="s">
        <v>13</v>
      </c>
      <c r="K7" s="30" t="s">
        <v>14</v>
      </c>
      <c r="L7" s="30" t="s">
        <v>15</v>
      </c>
      <c r="M7" s="30" t="s">
        <v>13</v>
      </c>
      <c r="N7" s="30" t="s">
        <v>14</v>
      </c>
      <c r="O7" s="30" t="s">
        <v>15</v>
      </c>
      <c r="P7" s="30" t="s">
        <v>13</v>
      </c>
      <c r="Q7" s="30" t="s">
        <v>14</v>
      </c>
      <c r="R7" s="30" t="s">
        <v>15</v>
      </c>
      <c r="S7" s="30" t="s">
        <v>16</v>
      </c>
      <c r="T7" s="30" t="s">
        <v>17</v>
      </c>
    </row>
    <row r="8" spans="1:20" ht="36" customHeight="1" x14ac:dyDescent="0.25">
      <c r="A8" s="31">
        <v>1</v>
      </c>
      <c r="B8" s="32" t="s">
        <v>74</v>
      </c>
      <c r="C8" s="33">
        <v>4</v>
      </c>
      <c r="D8" s="33" t="s">
        <v>75</v>
      </c>
      <c r="E8" s="34">
        <v>100</v>
      </c>
      <c r="F8" s="35" t="s">
        <v>76</v>
      </c>
      <c r="G8" s="33"/>
      <c r="H8" s="33"/>
      <c r="I8" s="8" t="s">
        <v>77</v>
      </c>
      <c r="J8" s="33"/>
      <c r="K8" s="33"/>
      <c r="L8" s="9" t="s">
        <v>78</v>
      </c>
      <c r="M8" s="33"/>
      <c r="N8" s="33"/>
      <c r="O8" s="10" t="s">
        <v>79</v>
      </c>
      <c r="P8" s="33"/>
      <c r="Q8" s="33"/>
      <c r="R8" s="10" t="s">
        <v>80</v>
      </c>
      <c r="S8" s="33" t="str">
        <f>IF(Q8="","–",IF(ISNUMBER(Q8),IF(Q8&gt;6,"✓ TAK – dodaj 2,5 kg","✗ NIE – zostań z ciężarem"),"–"))</f>
        <v>–</v>
      </c>
      <c r="T8" s="36"/>
    </row>
    <row r="9" spans="1:20" ht="36" customHeight="1" x14ac:dyDescent="0.25">
      <c r="A9" s="37">
        <v>2</v>
      </c>
      <c r="B9" s="14" t="s">
        <v>81</v>
      </c>
      <c r="C9" s="15">
        <v>4</v>
      </c>
      <c r="D9" s="15" t="s">
        <v>19</v>
      </c>
      <c r="E9" s="16" t="s">
        <v>82</v>
      </c>
      <c r="F9" s="7" t="s">
        <v>20</v>
      </c>
      <c r="G9" s="15"/>
      <c r="H9" s="15"/>
      <c r="I9" s="9" t="s">
        <v>83</v>
      </c>
      <c r="J9" s="15"/>
      <c r="K9" s="15"/>
      <c r="L9" s="10" t="s">
        <v>84</v>
      </c>
      <c r="M9" s="15"/>
      <c r="N9" s="15"/>
      <c r="O9" s="10" t="s">
        <v>84</v>
      </c>
      <c r="P9" s="15"/>
      <c r="Q9" s="15"/>
      <c r="R9" s="11" t="s">
        <v>41</v>
      </c>
      <c r="S9" s="15" t="str">
        <f>IF(Q9="","–",IF(ISNUMBER(Q9),IF(Q9&gt;8,"✓ TAK – dodaj 2,5 kg","✗ NIE – zostań z ciężarem"),"–"))</f>
        <v>–</v>
      </c>
      <c r="T9" s="18" t="s">
        <v>85</v>
      </c>
    </row>
    <row r="10" spans="1:20" ht="36" customHeight="1" x14ac:dyDescent="0.25">
      <c r="A10" s="31">
        <v>3</v>
      </c>
      <c r="B10" s="32" t="s">
        <v>86</v>
      </c>
      <c r="C10" s="33">
        <v>4</v>
      </c>
      <c r="D10" s="33" t="s">
        <v>87</v>
      </c>
      <c r="E10" s="34">
        <v>60</v>
      </c>
      <c r="F10" s="7" t="s">
        <v>20</v>
      </c>
      <c r="G10" s="33"/>
      <c r="H10" s="33"/>
      <c r="I10" s="9" t="s">
        <v>29</v>
      </c>
      <c r="J10" s="33"/>
      <c r="K10" s="33"/>
      <c r="L10" s="10" t="s">
        <v>47</v>
      </c>
      <c r="M10" s="33"/>
      <c r="N10" s="33"/>
      <c r="O10" s="10" t="s">
        <v>79</v>
      </c>
      <c r="P10" s="33"/>
      <c r="Q10" s="33"/>
      <c r="R10" s="11" t="s">
        <v>41</v>
      </c>
      <c r="S10" s="33" t="str">
        <f>IF(Q10="","–",IF(ISNUMBER(Q10),IF(Q10&gt;6,"✓ TAK – dodaj 2,5 kg","✗ NIE – zostań z ciężarem"),"–"))</f>
        <v>–</v>
      </c>
      <c r="T10" s="36"/>
    </row>
    <row r="11" spans="1:20" ht="36" customHeight="1" x14ac:dyDescent="0.25">
      <c r="A11" s="37">
        <v>4</v>
      </c>
      <c r="B11" s="14" t="s">
        <v>88</v>
      </c>
      <c r="C11" s="15">
        <v>3</v>
      </c>
      <c r="D11" s="15" t="s">
        <v>89</v>
      </c>
      <c r="E11" s="16" t="s">
        <v>90</v>
      </c>
      <c r="F11" s="7" t="s">
        <v>20</v>
      </c>
      <c r="G11" s="15"/>
      <c r="H11" s="15"/>
      <c r="I11" s="9" t="s">
        <v>29</v>
      </c>
      <c r="J11" s="15"/>
      <c r="K11" s="15"/>
      <c r="L11" s="10" t="s">
        <v>47</v>
      </c>
      <c r="M11" s="15"/>
      <c r="N11" s="15"/>
      <c r="O11" s="11" t="s">
        <v>41</v>
      </c>
      <c r="P11" s="17"/>
      <c r="Q11" s="17"/>
      <c r="R11" s="17"/>
      <c r="S11" s="33" t="str">
        <f>IF(N11="","–",IF(ISNUMBER(N11),IF(N11&gt;12,"✓ TAK – dodaj 2,5 kg","✗ NIE – zostań z ciężarem"),"–"))</f>
        <v>–</v>
      </c>
      <c r="T11" s="38" t="s">
        <v>91</v>
      </c>
    </row>
    <row r="12" spans="1:20" ht="15.75" customHeight="1" x14ac:dyDescent="0.25">
      <c r="A12" s="64" t="s">
        <v>50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</row>
    <row r="14" spans="1:20" ht="21.75" customHeight="1" x14ac:dyDescent="0.25">
      <c r="A14" s="78" t="s">
        <v>92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</row>
    <row r="15" spans="1:20" ht="27.75" customHeight="1" x14ac:dyDescent="0.25">
      <c r="A15" s="39" t="s">
        <v>52</v>
      </c>
      <c r="B15" s="79" t="s">
        <v>53</v>
      </c>
      <c r="C15" s="67"/>
      <c r="D15" s="67"/>
      <c r="E15" s="68"/>
      <c r="F15" s="39" t="s">
        <v>54</v>
      </c>
      <c r="G15" s="79" t="s">
        <v>55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8"/>
      <c r="T15" s="40"/>
    </row>
    <row r="16" spans="1:20" ht="24" customHeight="1" x14ac:dyDescent="0.25">
      <c r="A16" s="41" t="s">
        <v>56</v>
      </c>
      <c r="B16" s="82" t="s">
        <v>57</v>
      </c>
      <c r="C16" s="67"/>
      <c r="D16" s="67"/>
      <c r="E16" s="68"/>
      <c r="F16" s="42" t="s">
        <v>58</v>
      </c>
      <c r="G16" s="81" t="s">
        <v>93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8"/>
      <c r="T16" s="43"/>
    </row>
    <row r="17" spans="1:20" ht="24" customHeight="1" x14ac:dyDescent="0.25">
      <c r="A17" s="26" t="s">
        <v>56</v>
      </c>
      <c r="B17" s="71" t="s">
        <v>94</v>
      </c>
      <c r="C17" s="67"/>
      <c r="D17" s="67"/>
      <c r="E17" s="68"/>
      <c r="F17" s="44" t="s">
        <v>95</v>
      </c>
      <c r="G17" s="70" t="s">
        <v>96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8"/>
      <c r="T17" s="28"/>
    </row>
    <row r="18" spans="1:20" ht="24" customHeight="1" x14ac:dyDescent="0.25">
      <c r="A18" s="41" t="s">
        <v>97</v>
      </c>
      <c r="B18" s="82" t="s">
        <v>98</v>
      </c>
      <c r="C18" s="67"/>
      <c r="D18" s="67"/>
      <c r="E18" s="68"/>
      <c r="F18" s="42" t="s">
        <v>65</v>
      </c>
      <c r="G18" s="81" t="s">
        <v>99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8"/>
      <c r="T18" s="43"/>
    </row>
    <row r="19" spans="1:20" ht="24" customHeight="1" x14ac:dyDescent="0.25">
      <c r="A19" s="26" t="s">
        <v>97</v>
      </c>
      <c r="B19" s="71" t="s">
        <v>100</v>
      </c>
      <c r="C19" s="67"/>
      <c r="D19" s="67"/>
      <c r="E19" s="68"/>
      <c r="F19" s="44" t="s">
        <v>65</v>
      </c>
      <c r="G19" s="70" t="s">
        <v>101</v>
      </c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8"/>
      <c r="T19" s="28"/>
    </row>
    <row r="20" spans="1:20" ht="24" customHeight="1" x14ac:dyDescent="0.25">
      <c r="A20" s="41" t="s">
        <v>102</v>
      </c>
      <c r="B20" s="82" t="s">
        <v>103</v>
      </c>
      <c r="C20" s="67"/>
      <c r="D20" s="67"/>
      <c r="E20" s="68"/>
      <c r="F20" s="42" t="s">
        <v>65</v>
      </c>
      <c r="G20" s="81" t="s">
        <v>104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8"/>
      <c r="T20" s="43"/>
    </row>
    <row r="21" spans="1:20" ht="24" customHeight="1" x14ac:dyDescent="0.25">
      <c r="A21" s="26" t="s">
        <v>102</v>
      </c>
      <c r="B21" s="71" t="s">
        <v>67</v>
      </c>
      <c r="C21" s="67"/>
      <c r="D21" s="67"/>
      <c r="E21" s="68"/>
      <c r="F21" s="44" t="s">
        <v>65</v>
      </c>
      <c r="G21" s="70" t="s">
        <v>105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8"/>
      <c r="T21" s="28"/>
    </row>
    <row r="22" spans="1:20" ht="24" customHeight="1" x14ac:dyDescent="0.25">
      <c r="A22" s="41" t="s">
        <v>102</v>
      </c>
      <c r="B22" s="82" t="s">
        <v>106</v>
      </c>
      <c r="C22" s="67"/>
      <c r="D22" s="67"/>
      <c r="E22" s="68"/>
      <c r="F22" s="42" t="s">
        <v>65</v>
      </c>
      <c r="G22" s="81" t="s">
        <v>107</v>
      </c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8"/>
      <c r="T22" s="43"/>
    </row>
    <row r="23" spans="1:20" ht="24" customHeight="1" x14ac:dyDescent="0.25">
      <c r="A23" s="26" t="s">
        <v>102</v>
      </c>
      <c r="B23" s="71" t="s">
        <v>108</v>
      </c>
      <c r="C23" s="67"/>
      <c r="D23" s="67"/>
      <c r="E23" s="68"/>
      <c r="F23" s="44" t="s">
        <v>65</v>
      </c>
      <c r="G23" s="70" t="s">
        <v>109</v>
      </c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8"/>
      <c r="T23" s="28"/>
    </row>
    <row r="24" spans="1:20" ht="24" customHeight="1" x14ac:dyDescent="0.25">
      <c r="A24" s="41" t="s">
        <v>102</v>
      </c>
      <c r="B24" s="82" t="s">
        <v>110</v>
      </c>
      <c r="C24" s="67"/>
      <c r="D24" s="67"/>
      <c r="E24" s="68"/>
      <c r="F24" s="42" t="s">
        <v>65</v>
      </c>
      <c r="G24" s="81" t="s">
        <v>111</v>
      </c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8"/>
      <c r="T24" s="43"/>
    </row>
    <row r="25" spans="1:20" ht="24" customHeight="1" x14ac:dyDescent="0.25">
      <c r="A25" s="26" t="s">
        <v>112</v>
      </c>
      <c r="B25" s="71" t="s">
        <v>113</v>
      </c>
      <c r="C25" s="67"/>
      <c r="D25" s="67"/>
      <c r="E25" s="68"/>
      <c r="F25" s="44" t="s">
        <v>65</v>
      </c>
      <c r="G25" s="70" t="s">
        <v>114</v>
      </c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8"/>
      <c r="T25" s="28"/>
    </row>
    <row r="26" spans="1:20" ht="18" customHeight="1" x14ac:dyDescent="0.25">
      <c r="A26" s="73" t="s">
        <v>115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</row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">
    <mergeCell ref="A26:T26"/>
    <mergeCell ref="G22:S22"/>
    <mergeCell ref="B16:E16"/>
    <mergeCell ref="B21:E21"/>
    <mergeCell ref="B20:E20"/>
    <mergeCell ref="B19:E19"/>
    <mergeCell ref="B18:E18"/>
    <mergeCell ref="B22:E22"/>
    <mergeCell ref="B23:E23"/>
    <mergeCell ref="G24:S24"/>
    <mergeCell ref="G16:S16"/>
    <mergeCell ref="G17:S17"/>
    <mergeCell ref="B25:E25"/>
    <mergeCell ref="G21:S21"/>
    <mergeCell ref="B24:E24"/>
    <mergeCell ref="B15:E15"/>
    <mergeCell ref="B17:E17"/>
    <mergeCell ref="P6:R6"/>
    <mergeCell ref="G25:S25"/>
    <mergeCell ref="G20:S20"/>
    <mergeCell ref="G19:S19"/>
    <mergeCell ref="G18:S18"/>
    <mergeCell ref="G23:S23"/>
    <mergeCell ref="M6:O6"/>
    <mergeCell ref="G6:I6"/>
    <mergeCell ref="J6:L6"/>
    <mergeCell ref="G15:S15"/>
    <mergeCell ref="A1:T1"/>
    <mergeCell ref="A2:T2"/>
    <mergeCell ref="A5:T5"/>
    <mergeCell ref="A12:T12"/>
    <mergeCell ref="A14:T14"/>
  </mergeCells>
  <pageMargins left="0.75" right="0.75" top="1" bottom="1" header="0" footer="0"/>
  <pageSetup paperSize="9" fitToWidth="0" fitToHeight="0" orientation="landscape"/>
  <headerFooter>
    <oddFooter>&amp;C_x000D_#000000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>
      <selection sqref="A1:T1"/>
    </sheetView>
  </sheetViews>
  <sheetFormatPr defaultColWidth="14" defaultRowHeight="15" customHeight="1" x14ac:dyDescent="0.25"/>
  <cols>
    <col min="1" max="1" width="9.42578125" customWidth="1"/>
    <col min="2" max="2" width="20.140625" customWidth="1"/>
    <col min="3" max="3" width="5.85546875" customWidth="1"/>
    <col min="4" max="4" width="6.7109375" customWidth="1"/>
    <col min="5" max="6" width="13.85546875" customWidth="1"/>
    <col min="7" max="7" width="6.140625" customWidth="1"/>
    <col min="8" max="8" width="5.5703125" customWidth="1"/>
    <col min="9" max="9" width="19" customWidth="1"/>
    <col min="10" max="10" width="6.140625" customWidth="1"/>
    <col min="11" max="11" width="5.5703125" customWidth="1"/>
    <col min="12" max="12" width="19" customWidth="1"/>
    <col min="13" max="13" width="6.140625" customWidth="1"/>
    <col min="14" max="14" width="5.5703125" customWidth="1"/>
    <col min="15" max="15" width="18" customWidth="1"/>
    <col min="16" max="16" width="6.140625" customWidth="1"/>
    <col min="17" max="17" width="5.5703125" customWidth="1"/>
    <col min="18" max="18" width="20" customWidth="1"/>
    <col min="19" max="19" width="15.7109375" customWidth="1"/>
    <col min="20" max="20" width="24" customWidth="1"/>
    <col min="21" max="26" width="8.7109375" customWidth="1"/>
  </cols>
  <sheetData>
    <row r="1" spans="1:20" ht="27.75" customHeight="1" x14ac:dyDescent="0.25">
      <c r="A1" s="83" t="s">
        <v>116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84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7.5" customHeight="1" x14ac:dyDescent="0.25"/>
    <row r="4" spans="1:20" ht="7.5" customHeight="1" x14ac:dyDescent="0.25"/>
    <row r="5" spans="1:20" ht="19.5" customHeight="1" x14ac:dyDescent="0.25">
      <c r="A5" s="85" t="s">
        <v>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75" customHeight="1" x14ac:dyDescent="0.25">
      <c r="A6" s="45"/>
      <c r="B6" s="45"/>
      <c r="C6" s="45"/>
      <c r="D6" s="45"/>
      <c r="E6" s="45"/>
      <c r="F6" s="45"/>
      <c r="G6" s="88" t="s">
        <v>3</v>
      </c>
      <c r="H6" s="67"/>
      <c r="I6" s="68"/>
      <c r="J6" s="88" t="s">
        <v>4</v>
      </c>
      <c r="K6" s="67"/>
      <c r="L6" s="68"/>
      <c r="M6" s="88" t="s">
        <v>5</v>
      </c>
      <c r="N6" s="67"/>
      <c r="O6" s="68"/>
      <c r="P6" s="88" t="s">
        <v>6</v>
      </c>
      <c r="Q6" s="67"/>
      <c r="R6" s="68"/>
      <c r="S6" s="45"/>
      <c r="T6" s="45"/>
    </row>
    <row r="7" spans="1:20" ht="37.5" customHeight="1" x14ac:dyDescent="0.25">
      <c r="A7" s="46" t="s">
        <v>7</v>
      </c>
      <c r="B7" s="46" t="s">
        <v>8</v>
      </c>
      <c r="C7" s="46" t="s">
        <v>9</v>
      </c>
      <c r="D7" s="46" t="s">
        <v>10</v>
      </c>
      <c r="E7" s="46" t="s">
        <v>11</v>
      </c>
      <c r="F7" s="46" t="s">
        <v>12</v>
      </c>
      <c r="G7" s="46" t="s">
        <v>13</v>
      </c>
      <c r="H7" s="46" t="s">
        <v>14</v>
      </c>
      <c r="I7" s="46" t="s">
        <v>15</v>
      </c>
      <c r="J7" s="46" t="s">
        <v>13</v>
      </c>
      <c r="K7" s="46" t="s">
        <v>14</v>
      </c>
      <c r="L7" s="46" t="s">
        <v>15</v>
      </c>
      <c r="M7" s="46" t="s">
        <v>13</v>
      </c>
      <c r="N7" s="46" t="s">
        <v>14</v>
      </c>
      <c r="O7" s="46" t="s">
        <v>15</v>
      </c>
      <c r="P7" s="46" t="s">
        <v>13</v>
      </c>
      <c r="Q7" s="46" t="s">
        <v>14</v>
      </c>
      <c r="R7" s="46" t="s">
        <v>15</v>
      </c>
      <c r="S7" s="46" t="s">
        <v>16</v>
      </c>
      <c r="T7" s="46" t="s">
        <v>17</v>
      </c>
    </row>
    <row r="8" spans="1:20" ht="36" customHeight="1" x14ac:dyDescent="0.25">
      <c r="A8" s="47">
        <v>1</v>
      </c>
      <c r="B8" s="48" t="s">
        <v>117</v>
      </c>
      <c r="C8" s="49">
        <v>4</v>
      </c>
      <c r="D8" s="49" t="s">
        <v>118</v>
      </c>
      <c r="E8" s="50">
        <v>70</v>
      </c>
      <c r="F8" s="35" t="s">
        <v>76</v>
      </c>
      <c r="G8" s="49"/>
      <c r="H8" s="49"/>
      <c r="I8" s="8" t="s">
        <v>119</v>
      </c>
      <c r="J8" s="49"/>
      <c r="K8" s="49"/>
      <c r="L8" s="9" t="s">
        <v>83</v>
      </c>
      <c r="M8" s="49"/>
      <c r="N8" s="49"/>
      <c r="O8" s="10" t="s">
        <v>84</v>
      </c>
      <c r="P8" s="49"/>
      <c r="Q8" s="49"/>
      <c r="R8" s="10" t="s">
        <v>120</v>
      </c>
      <c r="S8" s="49" t="str">
        <f>IF(Q8="","–",IF(ISNUMBER(Q8),IF(Q8&gt;8,"✓ TAK – dodaj 2,5 kg","✗ NIE – zostań z ciężarem"),"–"))</f>
        <v>–</v>
      </c>
      <c r="T8" s="51"/>
    </row>
    <row r="9" spans="1:20" ht="36" customHeight="1" x14ac:dyDescent="0.25">
      <c r="A9" s="52">
        <v>2</v>
      </c>
      <c r="B9" s="14" t="s">
        <v>121</v>
      </c>
      <c r="C9" s="15">
        <v>3</v>
      </c>
      <c r="D9" s="15" t="s">
        <v>26</v>
      </c>
      <c r="E9" s="16">
        <v>40</v>
      </c>
      <c r="F9" s="7" t="s">
        <v>20</v>
      </c>
      <c r="G9" s="15"/>
      <c r="H9" s="15"/>
      <c r="I9" s="9" t="s">
        <v>122</v>
      </c>
      <c r="J9" s="15"/>
      <c r="K9" s="15"/>
      <c r="L9" s="10" t="s">
        <v>123</v>
      </c>
      <c r="M9" s="15"/>
      <c r="N9" s="15"/>
      <c r="O9" s="11" t="s">
        <v>41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124</v>
      </c>
    </row>
    <row r="10" spans="1:20" ht="36" customHeight="1" x14ac:dyDescent="0.25">
      <c r="A10" s="47">
        <v>3</v>
      </c>
      <c r="B10" s="48" t="s">
        <v>125</v>
      </c>
      <c r="C10" s="49">
        <v>3</v>
      </c>
      <c r="D10" s="49" t="s">
        <v>89</v>
      </c>
      <c r="E10" s="50">
        <v>50</v>
      </c>
      <c r="F10" s="7" t="s">
        <v>20</v>
      </c>
      <c r="G10" s="49"/>
      <c r="H10" s="49"/>
      <c r="I10" s="9" t="s">
        <v>29</v>
      </c>
      <c r="J10" s="49"/>
      <c r="K10" s="49"/>
      <c r="L10" s="10" t="s">
        <v>47</v>
      </c>
      <c r="M10" s="49"/>
      <c r="N10" s="49"/>
      <c r="O10" s="11" t="s">
        <v>41</v>
      </c>
      <c r="P10" s="17"/>
      <c r="Q10" s="17"/>
      <c r="R10" s="17"/>
      <c r="S10" s="49" t="str">
        <f>IF(N10="","–",IF(ISNUMBER(N10),IF(N10&gt;12,"✓ TAK – dodaj 2,5 kg","✗ NIE – zostań z ciężarem"),"–"))</f>
        <v>–</v>
      </c>
      <c r="T10" s="53" t="s">
        <v>126</v>
      </c>
    </row>
    <row r="11" spans="1:20" ht="15.75" customHeight="1" x14ac:dyDescent="0.25">
      <c r="A11" s="64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</row>
    <row r="13" spans="1:20" ht="21.75" customHeight="1" x14ac:dyDescent="0.25">
      <c r="A13" s="90" t="s">
        <v>127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4" spans="1:20" ht="27.75" customHeight="1" x14ac:dyDescent="0.25">
      <c r="A14" s="54" t="s">
        <v>52</v>
      </c>
      <c r="B14" s="89" t="s">
        <v>53</v>
      </c>
      <c r="C14" s="67"/>
      <c r="D14" s="67"/>
      <c r="E14" s="68"/>
      <c r="F14" s="54" t="s">
        <v>54</v>
      </c>
      <c r="G14" s="89" t="s">
        <v>55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8"/>
      <c r="T14" s="55"/>
    </row>
    <row r="15" spans="1:20" ht="24" customHeight="1" x14ac:dyDescent="0.25">
      <c r="A15" s="56" t="s">
        <v>56</v>
      </c>
      <c r="B15" s="86" t="s">
        <v>128</v>
      </c>
      <c r="C15" s="67"/>
      <c r="D15" s="67"/>
      <c r="E15" s="68"/>
      <c r="F15" s="57" t="s">
        <v>129</v>
      </c>
      <c r="G15" s="87" t="s">
        <v>130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8"/>
      <c r="T15" s="58"/>
    </row>
    <row r="16" spans="1:20" ht="24" customHeight="1" x14ac:dyDescent="0.25">
      <c r="A16" s="26" t="s">
        <v>131</v>
      </c>
      <c r="B16" s="71" t="s">
        <v>132</v>
      </c>
      <c r="C16" s="67"/>
      <c r="D16" s="67"/>
      <c r="E16" s="68"/>
      <c r="F16" s="59" t="s">
        <v>65</v>
      </c>
      <c r="G16" s="70" t="s">
        <v>133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8"/>
      <c r="T16" s="28"/>
    </row>
    <row r="17" spans="1:20" ht="24" customHeight="1" x14ac:dyDescent="0.25">
      <c r="A17" s="56" t="s">
        <v>131</v>
      </c>
      <c r="B17" s="86" t="s">
        <v>134</v>
      </c>
      <c r="C17" s="67"/>
      <c r="D17" s="67"/>
      <c r="E17" s="68"/>
      <c r="F17" s="57" t="s">
        <v>65</v>
      </c>
      <c r="G17" s="87" t="s">
        <v>135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8"/>
      <c r="T17" s="58"/>
    </row>
    <row r="18" spans="1:20" ht="24" customHeight="1" x14ac:dyDescent="0.25">
      <c r="A18" s="26" t="s">
        <v>131</v>
      </c>
      <c r="B18" s="71" t="s">
        <v>136</v>
      </c>
      <c r="C18" s="67"/>
      <c r="D18" s="67"/>
      <c r="E18" s="68"/>
      <c r="F18" s="59" t="s">
        <v>65</v>
      </c>
      <c r="G18" s="70" t="s">
        <v>137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8"/>
      <c r="T18" s="28"/>
    </row>
    <row r="19" spans="1:20" ht="24" customHeight="1" x14ac:dyDescent="0.25">
      <c r="A19" s="56" t="s">
        <v>131</v>
      </c>
      <c r="B19" s="86" t="s">
        <v>138</v>
      </c>
      <c r="C19" s="67"/>
      <c r="D19" s="67"/>
      <c r="E19" s="68"/>
      <c r="F19" s="57" t="s">
        <v>65</v>
      </c>
      <c r="G19" s="87" t="s">
        <v>139</v>
      </c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8"/>
      <c r="T19" s="58"/>
    </row>
    <row r="20" spans="1:20" ht="24" customHeight="1" x14ac:dyDescent="0.25">
      <c r="A20" s="26" t="s">
        <v>140</v>
      </c>
      <c r="B20" s="71" t="s">
        <v>141</v>
      </c>
      <c r="C20" s="67"/>
      <c r="D20" s="67"/>
      <c r="E20" s="68"/>
      <c r="F20" s="59" t="s">
        <v>65</v>
      </c>
      <c r="G20" s="70" t="s">
        <v>142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8"/>
      <c r="T20" s="28"/>
    </row>
    <row r="21" spans="1:20" ht="24" customHeight="1" x14ac:dyDescent="0.25">
      <c r="A21" s="56" t="s">
        <v>143</v>
      </c>
      <c r="B21" s="86" t="s">
        <v>144</v>
      </c>
      <c r="C21" s="67"/>
      <c r="D21" s="67"/>
      <c r="E21" s="68"/>
      <c r="F21" s="57" t="s">
        <v>65</v>
      </c>
      <c r="G21" s="87" t="s">
        <v>145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8"/>
      <c r="T21" s="58"/>
    </row>
    <row r="22" spans="1:20" ht="24" customHeight="1" x14ac:dyDescent="0.25">
      <c r="A22" s="26" t="s">
        <v>143</v>
      </c>
      <c r="B22" s="71" t="s">
        <v>146</v>
      </c>
      <c r="C22" s="67"/>
      <c r="D22" s="67"/>
      <c r="E22" s="68"/>
      <c r="F22" s="59" t="s">
        <v>65</v>
      </c>
      <c r="G22" s="70" t="s">
        <v>147</v>
      </c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8"/>
      <c r="T22" s="28"/>
    </row>
    <row r="23" spans="1:20" ht="24" customHeight="1" x14ac:dyDescent="0.25">
      <c r="A23" s="56" t="s">
        <v>143</v>
      </c>
      <c r="B23" s="86" t="s">
        <v>148</v>
      </c>
      <c r="C23" s="67"/>
      <c r="D23" s="67"/>
      <c r="E23" s="68"/>
      <c r="F23" s="57" t="s">
        <v>65</v>
      </c>
      <c r="G23" s="87" t="s">
        <v>149</v>
      </c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8"/>
      <c r="T23" s="58"/>
    </row>
    <row r="24" spans="1:20" ht="24" customHeight="1" x14ac:dyDescent="0.25">
      <c r="A24" s="26" t="s">
        <v>143</v>
      </c>
      <c r="B24" s="71" t="s">
        <v>150</v>
      </c>
      <c r="C24" s="67"/>
      <c r="D24" s="67"/>
      <c r="E24" s="68"/>
      <c r="F24" s="59" t="s">
        <v>65</v>
      </c>
      <c r="G24" s="70" t="s">
        <v>109</v>
      </c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8"/>
      <c r="T24" s="28"/>
    </row>
    <row r="25" spans="1:20" ht="24" customHeight="1" x14ac:dyDescent="0.25">
      <c r="A25" s="56" t="s">
        <v>151</v>
      </c>
      <c r="B25" s="86" t="s">
        <v>152</v>
      </c>
      <c r="C25" s="67"/>
      <c r="D25" s="67"/>
      <c r="E25" s="68"/>
      <c r="F25" s="57" t="s">
        <v>65</v>
      </c>
      <c r="G25" s="87" t="s">
        <v>153</v>
      </c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8"/>
      <c r="T25" s="58"/>
    </row>
    <row r="26" spans="1:20" ht="24" customHeight="1" x14ac:dyDescent="0.25">
      <c r="A26" s="26" t="s">
        <v>154</v>
      </c>
      <c r="B26" s="71" t="s">
        <v>155</v>
      </c>
      <c r="C26" s="67"/>
      <c r="D26" s="67"/>
      <c r="E26" s="68"/>
      <c r="F26" s="59" t="s">
        <v>65</v>
      </c>
      <c r="G26" s="70" t="s">
        <v>156</v>
      </c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8"/>
      <c r="T26" s="28"/>
    </row>
    <row r="27" spans="1:20" ht="18" customHeight="1" x14ac:dyDescent="0.25">
      <c r="A27" s="73" t="s">
        <v>157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</row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G15:S15"/>
    <mergeCell ref="B24:E24"/>
    <mergeCell ref="G16:S16"/>
    <mergeCell ref="B14:E14"/>
    <mergeCell ref="A27:T27"/>
    <mergeCell ref="G25:S25"/>
    <mergeCell ref="B17:E17"/>
    <mergeCell ref="G23:S23"/>
    <mergeCell ref="B23:E23"/>
    <mergeCell ref="B26:E26"/>
    <mergeCell ref="G21:S21"/>
    <mergeCell ref="G20:S20"/>
    <mergeCell ref="G19:S19"/>
    <mergeCell ref="G18:S18"/>
    <mergeCell ref="G17:S17"/>
    <mergeCell ref="B19:E19"/>
    <mergeCell ref="G22:S22"/>
    <mergeCell ref="B22:E22"/>
    <mergeCell ref="B20:E20"/>
    <mergeCell ref="B25:E25"/>
    <mergeCell ref="A1:T1"/>
    <mergeCell ref="A2:T2"/>
    <mergeCell ref="A5:T5"/>
    <mergeCell ref="G26:S26"/>
    <mergeCell ref="B16:E16"/>
    <mergeCell ref="B21:E21"/>
    <mergeCell ref="B18:E18"/>
    <mergeCell ref="G24:S24"/>
    <mergeCell ref="J6:L6"/>
    <mergeCell ref="A11:T11"/>
    <mergeCell ref="G14:S14"/>
    <mergeCell ref="G6:I6"/>
    <mergeCell ref="B15:E15"/>
    <mergeCell ref="A13:T13"/>
    <mergeCell ref="M6:O6"/>
    <mergeCell ref="P6:R6"/>
  </mergeCells>
  <pageMargins left="0.75" right="0.75" top="1" bottom="1" header="0" footer="0"/>
  <pageSetup paperSize="9" fitToWidth="0" fitToHeight="0" orientation="landscape"/>
  <headerFooter>
    <oddFooter>&amp;C_x000D_#000000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– Klatka · Barki · Triceps</vt:lpstr>
      <vt:lpstr>PULL – Plecy · Biceps</vt:lpstr>
      <vt:lpstr>NOGI – Uda · Pośladki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Krzysztof Zaraza - DSV</cp:lastModifiedBy>
  <dcterms:created xsi:type="dcterms:W3CDTF">2026-06-02T10:58:15Z</dcterms:created>
  <dcterms:modified xsi:type="dcterms:W3CDTF">2026-06-16T13:28:11Z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a702067b8ba142e0b4d8512232253d48</vt:lpwstr>
  </property>
  <property fmtid="{D5CDD505-2E9C-101B-9397-08002B2CF9AE}" pid="11" name="MSIP_Label_fc6c1fee-2f04-49ca-98cf-bcf61896c7fa_Name">
    <vt:lpwstr>Internal</vt:lpwstr>
  </property>
</Properties>
</file>