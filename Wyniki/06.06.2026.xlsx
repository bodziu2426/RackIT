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svcorp-my.sharepoint.com/personal/krzysztof_zaraza_dsv_com/Documents/GitHub/RackIT-1/Wyniki/"/>
    </mc:Choice>
  </mc:AlternateContent>
  <xr:revisionPtr revIDLastSave="0" documentId="13_ncr:1_{447CA166-4F22-4ED0-8449-14FA45231AB8}" xr6:coauthVersionLast="47" xr6:coauthVersionMax="47" xr10:uidLastSave="{00000000-0000-0000-0000-000000000000}"/>
  <bookViews>
    <workbookView xWindow="-19310" yWindow="-110" windowWidth="19420" windowHeight="11500" activeTab="1" xr2:uid="{00000000-000D-0000-FFFF-FFFF00000000}"/>
  </bookViews>
  <sheets>
    <sheet name="PUSH – Klatka · Barki · Triceps" sheetId="1" r:id="rId1"/>
    <sheet name="PULL – Plecy · Biceps" sheetId="2" r:id="rId2"/>
    <sheet name="NOGI – Uda · Pośladk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2" l="1"/>
  <c r="S10" i="3"/>
  <c r="S9" i="3"/>
  <c r="S8" i="3"/>
  <c r="S12" i="1"/>
  <c r="S11" i="1"/>
  <c r="S10" i="1"/>
  <c r="S9" i="1"/>
  <c r="S8" i="1"/>
  <c r="S10" i="2"/>
  <c r="S8" i="2"/>
</calcChain>
</file>

<file path=xl/sharedStrings.xml><?xml version="1.0" encoding="utf-8"?>
<sst xmlns="http://schemas.openxmlformats.org/spreadsheetml/2006/main" count="304" uniqueCount="160">
  <si>
    <t>PUSH – Klatka · Barki · Triceps</t>
  </si>
  <si>
    <t>Progresja: gdy ostatnia seria (do upadku) przekracza górny pułap zakresu → następny trening dodaj 2,5 kg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</si>
  <si>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</si>
  <si>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</si>
  <si>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</si>
  <si>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</si>
  <si>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</si>
  <si>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</si>
  <si>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</si>
  <si>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</si>
  <si>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</si>
  <si>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</si>
  <si>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</si>
  <si>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</si>
  <si>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</si>
  <si>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</si>
  <si>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</si>
  <si>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</si>
  <si>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</si>
  <si>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</si>
  <si>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</si>
  <si>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</si>
  <si>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</si>
  <si>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</si>
  <si>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</si>
  <si>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</si>
  <si>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</si>
  <si>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</si>
  <si>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</si>
  <si>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</si>
  <si>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</si>
  <si>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</si>
  <si>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</si>
  <si>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</si>
  <si>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</si>
  <si>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</si>
  <si>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</si>
  <si>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</si>
  <si>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</si>
  <si>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</si>
  <si>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</si>
  <si>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</si>
  <si>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</si>
  <si>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</si>
  <si>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</si>
  <si>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RIR 1  –  6–7 powt., 1 w zapasie</t>
  </si>
  <si>
    <t>RIR 0  –  DO UPADKU</t>
  </si>
  <si>
    <t>piramida – każda seria ciężej</t>
  </si>
  <si>
    <t>Wyciskanie hantlami – skośna +30°</t>
  </si>
  <si>
    <t>8–10</t>
  </si>
  <si>
    <t>2 × 24 kg</t>
  </si>
  <si>
    <t>RIR 2  –  10 powt., 2 w zapasie</t>
  </si>
  <si>
    <t>RIR 1  –  9–10 powt., 1 w zapasie</t>
  </si>
  <si>
    <t>3 s opuszczanie przez całą serię</t>
  </si>
  <si>
    <t>OHP sztangą</t>
  </si>
  <si>
    <t>6–10</t>
  </si>
  <si>
    <t>30 kg</t>
  </si>
  <si>
    <t>RIR 3  –  7–8 powt., 3 w zapasie</t>
  </si>
  <si>
    <t>RIR 2  –  8–9 powt., 2 w zapasie</t>
  </si>
  <si>
    <t>Odwodzenie na wyciągu jednorącz</t>
  </si>
  <si>
    <t>12–15</t>
  </si>
  <si>
    <t>8–10 kg</t>
  </si>
  <si>
    <t>RIR 2  –  12–13 powt., 2 w zapasie</t>
  </si>
  <si>
    <t>RIR 1  –  13–14 powt., 1 w zapasie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</si>
  <si>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</si>
  <si>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</si>
  <si>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</si>
  <si>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</si>
  <si>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</si>
  <si>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1  –  11 powt., 1 w zapasie</t>
  </si>
  <si>
    <t>tułów pionowo, łokcie blisko ciała</t>
  </si>
  <si>
    <t>Kolory RIR: zielony=RIR 3, niebieski=RIR 2, pomarańczowy=RIR 1, czerwony=RIR 0/upadek. Szare pola = seria nie w planie.</t>
  </si>
  <si>
    <t>PULL – Plecy · Biceps</t>
  </si>
  <si>
    <t>ROZGRZEWKA – PULL</t>
  </si>
  <si>
    <t>umiarkowane tempo</t>
  </si>
  <si>
    <t>Kilka przysiadów BW + rotacje bioder</t>
  </si>
  <si>
    <t>2 min</t>
  </si>
  <si>
    <t>angażuje biodra i dolne plecy przed martwym</t>
  </si>
  <si>
    <t>🟠 Aktywacja przed MC</t>
  </si>
  <si>
    <t>Mostek biodrowy na podłodze 2 × 10</t>
  </si>
  <si>
    <t>aktywacja pośladków i stabilizatorów kręgosłupa</t>
  </si>
  <si>
    <t>Bird-dog 2 × 8 na stronę</t>
  </si>
  <si>
    <t>stabilizacja odcinka lędźwiowego</t>
  </si>
  <si>
    <t>🟠 Przed martwym ciągiem</t>
  </si>
  <si>
    <t>Gryf (20 kg) × 8 powt.</t>
  </si>
  <si>
    <t>tylko technika – pozycja pleców, ustawienie bioder</t>
  </si>
  <si>
    <t>zaczyna być czuć ciężar</t>
  </si>
  <si>
    <t>70 kg × 3 powt.</t>
  </si>
  <si>
    <t>krótka – nie zmęczyć się</t>
  </si>
  <si>
    <t>90 kg × 2 powt.</t>
  </si>
  <si>
    <t>ostatni skok przed roboczymi</t>
  </si>
  <si>
    <t>100 kg × 1 powt.</t>
  </si>
  <si>
    <t>aktywacja układu nerwowego – wchodzisz pewny w 110 kg</t>
  </si>
  <si>
    <t>🟠 Przed drążkiem</t>
  </si>
  <si>
    <t>5 luźnych podciągnięć z gumą lub niepełny zakres</t>
  </si>
  <si>
    <t>tylko jeśli czujesz sztywność w łokciach / barkach</t>
  </si>
  <si>
    <t>⚠  NIE rozciągaj statycznie dolnych pleców przed martwym – destabilizuje odcinek lędźwiowy.</t>
  </si>
  <si>
    <t>Martwy ciąg</t>
  </si>
  <si>
    <t>4–6</t>
  </si>
  <si>
    <t>⚠ NIGDY do upadku – ryzyko kręgosłupa</t>
  </si>
  <si>
    <t>RIR 3  –  4 powt., 3 w zapasie</t>
  </si>
  <si>
    <t>RIR 2  –  5 powt., 2 w zapasie</t>
  </si>
  <si>
    <t>RIR 1  –  5–6 powt., 1 w zapasie</t>
  </si>
  <si>
    <t>RIR 1  –  6 powt., 1 w zapasie – max RIR 1</t>
  </si>
  <si>
    <t>Podciąganie na drążku</t>
  </si>
  <si>
    <t>BW</t>
  </si>
  <si>
    <t>RIR 2  –  6 powt., 2 w zapasie</t>
  </si>
  <si>
    <t>RIR 1  –  7 powt., 1 w zapasie</t>
  </si>
  <si>
    <t>nachwyt / podchwyt naprzemiennie co sesję</t>
  </si>
  <si>
    <t>Uginanie hantlami stojąc</t>
  </si>
  <si>
    <t>10–12</t>
  </si>
  <si>
    <t>supinacja w górze, biceps zmęczony drążkiem</t>
  </si>
  <si>
    <t>NOGI – Uda · Pośladki</t>
  </si>
  <si>
    <t>ROZGRZEWKA – NOGI</t>
  </si>
  <si>
    <t>Rower stacjonarny</t>
  </si>
  <si>
    <t>5–7 min</t>
  </si>
  <si>
    <t>angażuje dokładnie te mięśnie co trening – najlepsza opcja przed nogami</t>
  </si>
  <si>
    <t>🟠 Mobilizacja</t>
  </si>
  <si>
    <t>Krążenia bioder stojąc – 10 w każdą stronę</t>
  </si>
  <si>
    <t>rozgrzewa staw biodrowy</t>
  </si>
  <si>
    <t>Wypady z rotacją tułowia – 8 na stronę</t>
  </si>
  <si>
    <t>otwiera biodra, mobilizuje kręgosłup piersiowy</t>
  </si>
  <si>
    <t>Głęboki przysiad BW z 2–3 s przytrzymaniem na dole × 10</t>
  </si>
  <si>
    <t>sprawdzasz zakres – kostki, kolana, biodra</t>
  </si>
  <si>
    <t>Krążenia kostek – 10 w każdą stronę</t>
  </si>
  <si>
    <t>sztywne kostki ograniczają głębokość przysiadu</t>
  </si>
  <si>
    <t>🟠 Opcjonalnie</t>
  </si>
  <si>
    <t>Monster walk z gumą oporową na kolanach 2 × 10</t>
  </si>
  <si>
    <t>jeśli kolana wpadają do środka lub problem z głębokością</t>
  </si>
  <si>
    <t>🟠 Przed przysiadem</t>
  </si>
  <si>
    <t>Gryf (20 kg) × 10 powt.</t>
  </si>
  <si>
    <t>czysty ruch, sprawdzasz mobilność</t>
  </si>
  <si>
    <t>40 kg × 6 powt.</t>
  </si>
  <si>
    <t>zaczyna być czuć obciążenie</t>
  </si>
  <si>
    <t>60 kg × 4 powt.</t>
  </si>
  <si>
    <t>technika nadal priorytetem</t>
  </si>
  <si>
    <t>70 kg × 2 powt.</t>
  </si>
  <si>
    <t>🟠 Przed RDL</t>
  </si>
  <si>
    <t>30 kg × 8 powt.</t>
  </si>
  <si>
    <t>1 lekka seria – ustawienie techniki</t>
  </si>
  <si>
    <t>🟠 Przed hip thrustem</t>
  </si>
  <si>
    <t>Mostek biodrowy BW × 10 (opcjonalnie)</t>
  </si>
  <si>
    <t>jeśli nie czujesz połączenia z pośladkami</t>
  </si>
  <si>
    <t>⚠  Rozgrzewka przed nogami jest najdłuższa – zaplanuj 12–15 min zanim wejdziesz pod sztangę.</t>
  </si>
  <si>
    <t>Przysiad ze sztangą</t>
  </si>
  <si>
    <t>5–8</t>
  </si>
  <si>
    <t>RIR 3  –  5 powt., 3 w zapasie</t>
  </si>
  <si>
    <t>RIR 1  –  7–8 powt., 1 w zapasie – max RIR 1</t>
  </si>
  <si>
    <t>RDL ze sztangą</t>
  </si>
  <si>
    <t>RIR 2  –  8 powt., 2 w zapasie</t>
  </si>
  <si>
    <t>RIR 1  –  9 powt., 1 w zapasie</t>
  </si>
  <si>
    <t>skup się na rozciągnięciu dwugłowych</t>
  </si>
  <si>
    <t>Hip thrust ze sztangą</t>
  </si>
  <si>
    <t>1. sesja = kalibracja ciężaru</t>
  </si>
  <si>
    <t>2 x 12</t>
  </si>
  <si>
    <t>bw</t>
  </si>
  <si>
    <t>Rows</t>
  </si>
  <si>
    <t>2x10</t>
  </si>
  <si>
    <t>2x12</t>
  </si>
  <si>
    <t>2x14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</si>
</sst>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name val="Calibri"/>
    </font>
    <font>
      <b/>
      <sz val="13"/>
      <color rgb="FFFFFFFF"/>
      <name val="Arial"/>
    </font>
    <font>
      <sz val="11"/>
      <color rgb="FF000000"/>
      <name val="Calibri"/>
    </font>
    <font>
      <i/>
      <sz val="9"/>
      <color rgb="FF1565C0"/>
      <name val="Arial"/>
    </font>
    <font>
      <b/>
      <sz val="11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0"/>
      <color rgb="FF1565C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000000"/>
      <name val="Arial"/>
      <charset val="238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CCCCCC"/>
      <name val="Arial"/>
    </font>
    <font>
      <sz val="9"/>
      <color rgb="FF555555"/>
      <name val="Arial"/>
    </font>
    <font>
      <i/>
      <sz val="8"/>
      <color rgb="FF888888"/>
      <name val="Arial"/>
    </font>
    <font>
      <sz val="8"/>
      <color rgb="FF000000"/>
      <name val="Arial"/>
    </font>
    <font>
      <b/>
      <sz val="9"/>
      <color rgb="FF000000"/>
      <name val="Arial"/>
    </font>
    <font>
      <b/>
      <sz val="9"/>
      <color rgb="FF1A237E"/>
      <name val="Arial"/>
    </font>
    <font>
      <i/>
      <sz val="9"/>
      <color rgb="FF444444"/>
      <name val="Arial"/>
    </font>
    <font>
      <i/>
      <sz val="9"/>
      <color rgb="FFBF360C"/>
      <name val="Arial"/>
    </font>
    <font>
      <i/>
      <sz val="9"/>
      <color rgb="FF1B5E20"/>
      <name val="Arial"/>
    </font>
    <font>
      <b/>
      <sz val="10"/>
      <color rgb="FF1B5E20"/>
      <name val="Arial"/>
    </font>
    <font>
      <sz val="9"/>
      <color rgb="FFBF360C"/>
      <name val="Arial"/>
    </font>
    <font>
      <b/>
      <sz val="9"/>
      <color rgb="FF1B4020"/>
      <name val="Arial"/>
    </font>
    <font>
      <i/>
      <sz val="9"/>
      <color rgb="FFE65100"/>
      <name val="Arial"/>
    </font>
    <font>
      <b/>
      <sz val="10"/>
      <color rgb="FFE65100"/>
      <name val="Arial"/>
    </font>
    <font>
      <b/>
      <sz val="9"/>
      <color rgb="FFBF360C"/>
      <name val="Arial"/>
    </font>
  </fonts>
  <fills count="26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E3F2FD"/>
      </patternFill>
    </fill>
    <fill>
      <patternFill patternType="solid">
        <fgColor rgb="FFE3F2FD"/>
        <bgColor indexed="64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FF0F0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5F5F5"/>
      </patternFill>
    </fill>
    <fill>
      <patternFill patternType="solid">
        <fgColor rgb="FFFAFAFA"/>
      </patternFill>
    </fill>
    <fill>
      <patternFill patternType="solid">
        <fgColor rgb="FF1A237E"/>
      </patternFill>
    </fill>
    <fill>
      <patternFill patternType="solid">
        <fgColor rgb="FFE8EAF6"/>
      </patternFill>
    </fill>
    <fill>
      <patternFill patternType="solid">
        <fgColor rgb="FFFFF3E0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E8F5E9"/>
        <bgColor indexed="64"/>
      </patternFill>
    </fill>
    <fill>
      <patternFill patternType="solid">
        <fgColor rgb="FF1B4020"/>
      </patternFill>
    </fill>
    <fill>
      <patternFill patternType="solid">
        <fgColor rgb="FFF1F8E9"/>
      </patternFill>
    </fill>
    <fill>
      <patternFill patternType="solid">
        <fgColor rgb="FFE65100"/>
      </patternFill>
    </fill>
    <fill>
      <patternFill patternType="solid">
        <fgColor rgb="FFFFE0B2"/>
      </patternFill>
    </fill>
    <fill>
      <patternFill patternType="solid">
        <fgColor rgb="FFFFF3E0"/>
        <bgColor indexed="64"/>
      </patternFill>
    </fill>
    <fill>
      <patternFill patternType="solid">
        <fgColor rgb="FFBF360C"/>
      </patternFill>
    </fill>
    <fill>
      <patternFill patternType="solid">
        <fgColor rgb="FFFBE9E7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5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left" vertical="center"/>
    </xf>
    <xf numFmtId="0" fontId="16" fillId="9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left" vertical="center" wrapText="1"/>
    </xf>
    <xf numFmtId="0" fontId="10" fillId="4" borderId="1" xfId="0" quotePrefix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/>
    </xf>
    <xf numFmtId="0" fontId="20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/>
    <xf numFmtId="0" fontId="22" fillId="14" borderId="1" xfId="0" applyFont="1" applyFill="1" applyBorder="1" applyAlignment="1">
      <alignment horizontal="center" vertical="center"/>
    </xf>
    <xf numFmtId="0" fontId="20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/>
    <xf numFmtId="0" fontId="22" fillId="9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 wrapText="1"/>
    </xf>
    <xf numFmtId="0" fontId="27" fillId="1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left" vertical="center" wrapText="1"/>
    </xf>
    <xf numFmtId="0" fontId="26" fillId="9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20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/>
    <xf numFmtId="0" fontId="28" fillId="20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11" fillId="23" borderId="2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left" vertical="center" wrapText="1"/>
    </xf>
    <xf numFmtId="0" fontId="30" fillId="9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left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left" vertical="center"/>
    </xf>
    <xf numFmtId="0" fontId="20" fillId="25" borderId="1" xfId="0" applyFont="1" applyFill="1" applyBorder="1" applyAlignment="1">
      <alignment horizontal="center" vertical="center" wrapText="1"/>
    </xf>
    <xf numFmtId="0" fontId="2" fillId="25" borderId="1" xfId="0" applyFont="1" applyFill="1" applyBorder="1" applyAlignment="1"/>
    <xf numFmtId="0" fontId="31" fillId="25" borderId="1" xfId="0" applyFont="1" applyFill="1" applyBorder="1" applyAlignment="1">
      <alignment horizontal="center" vertical="center"/>
    </xf>
    <xf numFmtId="0" fontId="31" fillId="9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/>
    <xf numFmtId="0" fontId="7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25" fillId="17" borderId="0" xfId="0" applyFont="1" applyFill="1" applyAlignment="1">
      <alignment horizontal="left" vertical="center"/>
    </xf>
    <xf numFmtId="0" fontId="2" fillId="0" borderId="0" xfId="0" applyFont="1" applyAlignment="1"/>
    <xf numFmtId="0" fontId="6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/>
    <xf numFmtId="0" fontId="21" fillId="9" borderId="1" xfId="0" applyFont="1" applyFill="1" applyBorder="1" applyAlignment="1">
      <alignment horizontal="left" vertical="center"/>
    </xf>
    <xf numFmtId="0" fontId="21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/>
    <xf numFmtId="0" fontId="1" fillId="16" borderId="0" xfId="0" applyFont="1" applyFill="1" applyAlignment="1">
      <alignment horizontal="center" vertical="center"/>
    </xf>
    <xf numFmtId="0" fontId="4" fillId="19" borderId="0" xfId="0" applyFont="1" applyFill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24" fillId="15" borderId="0" xfId="0" applyFont="1" applyFill="1" applyAlignment="1">
      <alignment horizontal="left" vertical="center"/>
    </xf>
    <xf numFmtId="0" fontId="23" fillId="20" borderId="1" xfId="0" applyFont="1" applyFill="1" applyBorder="1" applyAlignment="1">
      <alignment horizontal="left" vertical="center"/>
    </xf>
    <xf numFmtId="0" fontId="21" fillId="14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/>
    <xf numFmtId="0" fontId="3" fillId="3" borderId="0" xfId="0" applyFont="1" applyFill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/>
    <xf numFmtId="0" fontId="4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0" fontId="21" fillId="25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/>
    <xf numFmtId="0" fontId="23" fillId="25" borderId="1" xfId="0" applyFont="1" applyFill="1" applyBorder="1" applyAlignment="1">
      <alignment horizontal="left" vertical="center"/>
    </xf>
    <xf numFmtId="0" fontId="1" fillId="21" borderId="0" xfId="0" applyFont="1" applyFill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/>
    <xf numFmtId="0" fontId="4" fillId="21" borderId="0" xfId="0" applyFont="1" applyFill="1" applyAlignment="1">
      <alignment horizontal="left" vertical="center"/>
    </xf>
    <xf numFmtId="0" fontId="7" fillId="24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left" vertical="center"/>
    </xf>
    <xf numFmtId="0" fontId="29" fillId="22" borderId="0" xfId="0" applyFont="1" applyFill="1" applyAlignment="1">
      <alignment horizontal="left" vertical="center"/>
    </xf>
    <xf numFmtId="0" fontId="4" fillId="24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0/cellImage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"/>
  <sheetViews>
    <sheetView workbookViewId="0">
      <selection activeCell="G8" sqref="G8:H12"/>
    </sheetView>
  </sheetViews>
  <sheetFormatPr defaultColWidth="10" defaultRowHeight="15" x14ac:dyDescent="0.25"/>
  <cols>
    <col min="1" max="1" width="15.5703125" bestFit="1" customWidth="1"/>
    <col min="2" max="2" width="33.85546875" bestFit="1" customWidth="1"/>
    <col min="3" max="3" width="5.85546875" bestFit="1" customWidth="1"/>
    <col min="4" max="4" width="6.7109375" bestFit="1" customWidth="1"/>
    <col min="5" max="5" width="22.140625" bestFit="1" customWidth="1"/>
    <col min="6" max="6" width="13.85546875" bestFit="1" customWidth="1"/>
    <col min="7" max="7" width="6.140625" bestFit="1" customWidth="1"/>
    <col min="8" max="8" width="5.5703125" bestFit="1" customWidth="1"/>
    <col min="9" max="9" width="20" customWidth="1"/>
    <col min="10" max="10" width="6.140625" bestFit="1" customWidth="1"/>
    <col min="11" max="11" width="5.5703125" bestFit="1" customWidth="1"/>
    <col min="12" max="12" width="20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7.85546875" bestFit="1" customWidth="1"/>
    <col min="19" max="19" width="15.7109375" bestFit="1" customWidth="1"/>
    <col min="20" max="20" width="28.140625" bestFit="1" customWidth="1"/>
  </cols>
  <sheetData>
    <row r="1" spans="1:20" ht="27.95" customHeight="1" x14ac:dyDescent="0.25">
      <c r="A1" s="83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</row>
    <row r="2" spans="1:20" ht="18" customHeight="1" x14ac:dyDescent="0.25">
      <c r="A2" s="79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82" t="s">
        <v>24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</row>
    <row r="6" spans="1:20" ht="15.95" customHeight="1" x14ac:dyDescent="0.25">
      <c r="A6" s="1"/>
      <c r="B6" s="1"/>
      <c r="C6" s="1"/>
      <c r="D6" s="1"/>
      <c r="E6" s="1"/>
      <c r="F6" s="1"/>
      <c r="G6" s="80" t="s">
        <v>25</v>
      </c>
      <c r="H6" s="81"/>
      <c r="I6" s="81"/>
      <c r="J6" s="80" t="s">
        <v>26</v>
      </c>
      <c r="K6" s="81"/>
      <c r="L6" s="81"/>
      <c r="M6" s="80" t="s">
        <v>27</v>
      </c>
      <c r="N6" s="81"/>
      <c r="O6" s="81"/>
      <c r="P6" s="80" t="s">
        <v>28</v>
      </c>
      <c r="Q6" s="81"/>
      <c r="R6" s="81"/>
      <c r="S6" s="1"/>
      <c r="T6" s="1"/>
    </row>
    <row r="7" spans="1:20" ht="38.1" customHeight="1" x14ac:dyDescent="0.25">
      <c r="A7" s="2" t="s">
        <v>29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34</v>
      </c>
      <c r="G7" s="2" t="s">
        <v>35</v>
      </c>
      <c r="H7" s="2" t="s">
        <v>36</v>
      </c>
      <c r="I7" s="2" t="s">
        <v>37</v>
      </c>
      <c r="J7" s="2" t="s">
        <v>35</v>
      </c>
      <c r="K7" s="2" t="s">
        <v>36</v>
      </c>
      <c r="L7" s="2" t="s">
        <v>37</v>
      </c>
      <c r="M7" s="2" t="s">
        <v>35</v>
      </c>
      <c r="N7" s="2" t="s">
        <v>36</v>
      </c>
      <c r="O7" s="2" t="s">
        <v>37</v>
      </c>
      <c r="P7" s="2" t="s">
        <v>35</v>
      </c>
      <c r="Q7" s="2" t="s">
        <v>36</v>
      </c>
      <c r="R7" s="2" t="s">
        <v>37</v>
      </c>
      <c r="S7" s="2" t="s">
        <v>38</v>
      </c>
      <c r="T7" s="2" t="s">
        <v>39</v>
      </c>
    </row>
    <row r="8" spans="1:20" ht="36" customHeight="1" x14ac:dyDescent="0.25">
      <c r="A8" s="3">
        <v>1</v>
      </c>
      <c r="B8" s="4" t="s">
        <v>40</v>
      </c>
      <c r="C8" s="5">
        <v>4</v>
      </c>
      <c r="D8" s="5" t="s">
        <v>41</v>
      </c>
      <c r="E8" s="6">
        <v>60</v>
      </c>
      <c r="F8" s="7" t="s">
        <v>42</v>
      </c>
      <c r="G8" s="5"/>
      <c r="H8" s="5"/>
      <c r="I8" s="8" t="s">
        <v>43</v>
      </c>
      <c r="J8" s="5"/>
      <c r="K8" s="5"/>
      <c r="L8" s="9" t="s">
        <v>44</v>
      </c>
      <c r="M8" s="5"/>
      <c r="N8" s="5"/>
      <c r="O8" s="10" t="s">
        <v>45</v>
      </c>
      <c r="P8" s="5"/>
      <c r="Q8" s="5"/>
      <c r="R8" s="11" t="s">
        <v>46</v>
      </c>
      <c r="S8" s="5" t="str">
        <f>IF(Q8="","–",IF(ISNUMBER(Q8),IF(Q8&gt;8,"✓ TAK – dodaj 2,5 kg","✗ NIE – zostań z ciężarem"),"–"))</f>
        <v>–</v>
      </c>
      <c r="T8" s="12" t="s">
        <v>47</v>
      </c>
    </row>
    <row r="9" spans="1:20" ht="36" customHeight="1" x14ac:dyDescent="0.25">
      <c r="A9" s="13">
        <v>2</v>
      </c>
      <c r="B9" s="14" t="s">
        <v>48</v>
      </c>
      <c r="C9" s="15">
        <v>3</v>
      </c>
      <c r="D9" s="15" t="s">
        <v>49</v>
      </c>
      <c r="E9" s="16" t="s">
        <v>50</v>
      </c>
      <c r="F9" s="7" t="s">
        <v>42</v>
      </c>
      <c r="G9" s="15"/>
      <c r="H9" s="15"/>
      <c r="I9" s="9" t="s">
        <v>51</v>
      </c>
      <c r="J9" s="15"/>
      <c r="K9" s="15"/>
      <c r="L9" s="10" t="s">
        <v>52</v>
      </c>
      <c r="M9" s="15"/>
      <c r="N9" s="15"/>
      <c r="O9" s="11" t="s">
        <v>46</v>
      </c>
      <c r="P9" s="17"/>
      <c r="Q9" s="17"/>
      <c r="R9" s="17"/>
      <c r="S9" s="15" t="str">
        <f>IF(N9="","–",IF(ISNUMBER(N9),IF(N9&gt;10,"✓ TAK – dodaj 2,5 kg","✗ NIE – zostań z ciężarem"),"–"))</f>
        <v>–</v>
      </c>
      <c r="T9" s="18" t="s">
        <v>53</v>
      </c>
    </row>
    <row r="10" spans="1:20" ht="36" customHeight="1" x14ac:dyDescent="0.25">
      <c r="A10" s="3">
        <v>3</v>
      </c>
      <c r="B10" s="4" t="s">
        <v>54</v>
      </c>
      <c r="C10" s="5">
        <v>4</v>
      </c>
      <c r="D10" s="5" t="s">
        <v>55</v>
      </c>
      <c r="E10" s="6" t="s">
        <v>56</v>
      </c>
      <c r="F10" s="7" t="s">
        <v>42</v>
      </c>
      <c r="G10" s="5"/>
      <c r="H10" s="5"/>
      <c r="I10" s="8" t="s">
        <v>57</v>
      </c>
      <c r="J10" s="5"/>
      <c r="K10" s="5"/>
      <c r="L10" s="9" t="s">
        <v>58</v>
      </c>
      <c r="M10" s="5"/>
      <c r="N10" s="5"/>
      <c r="O10" s="10" t="s">
        <v>52</v>
      </c>
      <c r="P10" s="5"/>
      <c r="Q10" s="5"/>
      <c r="R10" s="11" t="s">
        <v>46</v>
      </c>
      <c r="S10" s="5" t="str">
        <f>IF(Q10="","–",IF(ISNUMBER(Q10),IF(Q10&gt;10,"✓ TAK – dodaj 2,5 kg","✗ NIE – zostań z ciężarem"),"–"))</f>
        <v>–</v>
      </c>
      <c r="T10" s="19"/>
    </row>
    <row r="11" spans="1:20" ht="36" customHeight="1" x14ac:dyDescent="0.25">
      <c r="A11" s="13">
        <v>4</v>
      </c>
      <c r="B11" s="14" t="s">
        <v>59</v>
      </c>
      <c r="C11" s="15">
        <v>3</v>
      </c>
      <c r="D11" s="15" t="s">
        <v>60</v>
      </c>
      <c r="E11" s="16" t="s">
        <v>61</v>
      </c>
      <c r="F11" s="7" t="s">
        <v>42</v>
      </c>
      <c r="G11" s="15"/>
      <c r="H11" s="15"/>
      <c r="I11" s="9" t="s">
        <v>62</v>
      </c>
      <c r="J11" s="15"/>
      <c r="K11" s="15"/>
      <c r="L11" s="10" t="s">
        <v>63</v>
      </c>
      <c r="M11" s="15"/>
      <c r="N11" s="15"/>
      <c r="O11" s="11" t="s">
        <v>46</v>
      </c>
      <c r="P11" s="17"/>
      <c r="Q11" s="17"/>
      <c r="R11" s="17"/>
      <c r="S11" s="15" t="str">
        <f>IF(N11="","–",IF(ISNUMBER(N11),IF(N11&gt;15,"✓ TAK – dodaj 2,5 kg","✗ NIE – zostań z ciężarem"),"–"))</f>
        <v>–</v>
      </c>
      <c r="T11" s="18" t="s">
        <v>64</v>
      </c>
    </row>
    <row r="12" spans="1:20" ht="36" customHeight="1" x14ac:dyDescent="0.25">
      <c r="A12" s="3">
        <v>5</v>
      </c>
      <c r="B12" s="4" t="s">
        <v>65</v>
      </c>
      <c r="C12" s="5">
        <v>4</v>
      </c>
      <c r="D12" s="5" t="s">
        <v>66</v>
      </c>
      <c r="E12" s="6" t="s">
        <v>67</v>
      </c>
      <c r="F12" s="7" t="s">
        <v>42</v>
      </c>
      <c r="G12" s="20"/>
      <c r="H12" s="5"/>
      <c r="I12" s="8" t="s">
        <v>68</v>
      </c>
      <c r="J12" s="20"/>
      <c r="K12" s="5"/>
      <c r="L12" s="9" t="s">
        <v>51</v>
      </c>
      <c r="M12" s="20"/>
      <c r="N12" s="5"/>
      <c r="O12" s="10" t="s">
        <v>69</v>
      </c>
      <c r="P12" s="5"/>
      <c r="Q12" s="5"/>
      <c r="R12" s="11" t="s">
        <v>46</v>
      </c>
      <c r="S12" s="5" t="str">
        <f>IF(Q12="","–",IF(ISNUMBER(Q12),IF(Q12&gt;12,"✓ TAK – dodaj 2,5 kg","✗ NIE – zostań z ciężarem"),"–"))</f>
        <v>–</v>
      </c>
      <c r="T12" s="12" t="s">
        <v>70</v>
      </c>
    </row>
    <row r="13" spans="1:20" ht="15.95" customHeight="1" x14ac:dyDescent="0.25">
      <c r="A13" s="74" t="s">
        <v>71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</row>
    <row r="15" spans="1:20" ht="21.95" customHeight="1" x14ac:dyDescent="0.25">
      <c r="A15" s="87" t="s">
        <v>2</v>
      </c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</row>
    <row r="16" spans="1:20" ht="27.95" customHeight="1" x14ac:dyDescent="0.25">
      <c r="A16" s="21" t="s">
        <v>3</v>
      </c>
      <c r="B16" s="84" t="s">
        <v>4</v>
      </c>
      <c r="C16" s="85"/>
      <c r="D16" s="85"/>
      <c r="E16" s="85"/>
      <c r="F16" s="21" t="s">
        <v>5</v>
      </c>
      <c r="G16" s="84" t="s">
        <v>6</v>
      </c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22"/>
    </row>
    <row r="17" spans="1:20" ht="24" customHeight="1" x14ac:dyDescent="0.25">
      <c r="A17" s="23" t="s">
        <v>7</v>
      </c>
      <c r="B17" s="77" t="s">
        <v>8</v>
      </c>
      <c r="C17" s="78"/>
      <c r="D17" s="78"/>
      <c r="E17" s="78"/>
      <c r="F17" s="25" t="s">
        <v>9</v>
      </c>
      <c r="G17" s="86" t="s">
        <v>10</v>
      </c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24"/>
    </row>
    <row r="18" spans="1:20" ht="24" customHeight="1" x14ac:dyDescent="0.25">
      <c r="A18" s="26" t="s">
        <v>7</v>
      </c>
      <c r="B18" s="68" t="s">
        <v>11</v>
      </c>
      <c r="C18" s="61"/>
      <c r="D18" s="61"/>
      <c r="E18" s="61"/>
      <c r="F18" s="28" t="s">
        <v>12</v>
      </c>
      <c r="G18" s="60" t="s">
        <v>13</v>
      </c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27"/>
    </row>
    <row r="19" spans="1:20" ht="24" customHeight="1" x14ac:dyDescent="0.25">
      <c r="A19" s="23" t="s">
        <v>14</v>
      </c>
      <c r="B19" s="77" t="s">
        <v>15</v>
      </c>
      <c r="C19" s="78"/>
      <c r="D19" s="78"/>
      <c r="E19" s="78"/>
      <c r="F19" s="25" t="s">
        <v>16</v>
      </c>
      <c r="G19" s="86" t="s">
        <v>17</v>
      </c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24"/>
    </row>
    <row r="20" spans="1:20" ht="24" customHeight="1" x14ac:dyDescent="0.25">
      <c r="A20" s="26" t="s">
        <v>14</v>
      </c>
      <c r="B20" s="68" t="s">
        <v>18</v>
      </c>
      <c r="C20" s="61"/>
      <c r="D20" s="61"/>
      <c r="E20" s="61"/>
      <c r="F20" s="28" t="s">
        <v>16</v>
      </c>
      <c r="G20" s="60" t="s">
        <v>19</v>
      </c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27"/>
    </row>
    <row r="21" spans="1:20" ht="24" customHeight="1" x14ac:dyDescent="0.25">
      <c r="A21" s="23" t="s">
        <v>20</v>
      </c>
      <c r="B21" s="77" t="s">
        <v>21</v>
      </c>
      <c r="C21" s="78"/>
      <c r="D21" s="78"/>
      <c r="E21" s="78"/>
      <c r="F21" s="25" t="s">
        <v>16</v>
      </c>
      <c r="G21" s="86" t="s">
        <v>22</v>
      </c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24"/>
    </row>
    <row r="22" spans="1:20" ht="18" customHeight="1" x14ac:dyDescent="0.25">
      <c r="A22" s="75" t="s">
        <v>23</v>
      </c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</row>
  </sheetData>
  <mergeCells count="22">
    <mergeCell ref="A1:T1"/>
    <mergeCell ref="G6:I6"/>
    <mergeCell ref="M6:O6"/>
    <mergeCell ref="P6:R6"/>
    <mergeCell ref="A22:T22"/>
    <mergeCell ref="G16:S16"/>
    <mergeCell ref="G17:S17"/>
    <mergeCell ref="G19:S19"/>
    <mergeCell ref="B17:E17"/>
    <mergeCell ref="G18:S18"/>
    <mergeCell ref="B18:E18"/>
    <mergeCell ref="B16:E16"/>
    <mergeCell ref="A15:T15"/>
    <mergeCell ref="G21:S21"/>
    <mergeCell ref="B20:E20"/>
    <mergeCell ref="B19:E19"/>
    <mergeCell ref="A13:T13"/>
    <mergeCell ref="B21:E21"/>
    <mergeCell ref="A2:T2"/>
    <mergeCell ref="J6:L6"/>
    <mergeCell ref="A5:T5"/>
    <mergeCell ref="G20:S20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5"/>
  <sheetViews>
    <sheetView tabSelected="1" topLeftCell="F6" workbookViewId="0">
      <selection activeCell="L9" sqref="L9"/>
    </sheetView>
  </sheetViews>
  <sheetFormatPr defaultColWidth="10" defaultRowHeight="15" x14ac:dyDescent="0.25"/>
  <cols>
    <col min="1" max="1" width="13.140625" bestFit="1" customWidth="1"/>
    <col min="2" max="2" width="24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8" bestFit="1" customWidth="1"/>
    <col min="19" max="19" width="15.7109375" bestFit="1" customWidth="1"/>
    <col min="20" max="20" width="22.7109375" bestFit="1" customWidth="1"/>
  </cols>
  <sheetData>
    <row r="1" spans="1:20" ht="27.95" customHeight="1" x14ac:dyDescent="0.25">
      <c r="A1" s="71" t="s">
        <v>72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</row>
    <row r="2" spans="1:20" ht="18" customHeight="1" x14ac:dyDescent="0.25">
      <c r="A2" s="64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73" t="s">
        <v>24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</row>
    <row r="6" spans="1:20" ht="15.95" customHeight="1" x14ac:dyDescent="0.25">
      <c r="A6" s="29"/>
      <c r="B6" s="29"/>
      <c r="C6" s="29"/>
      <c r="D6" s="29"/>
      <c r="E6" s="29"/>
      <c r="F6" s="29"/>
      <c r="G6" s="66" t="s">
        <v>25</v>
      </c>
      <c r="H6" s="67"/>
      <c r="I6" s="67"/>
      <c r="J6" s="66" t="s">
        <v>26</v>
      </c>
      <c r="K6" s="67"/>
      <c r="L6" s="67"/>
      <c r="M6" s="66" t="s">
        <v>27</v>
      </c>
      <c r="N6" s="67"/>
      <c r="O6" s="67"/>
      <c r="P6" s="66" t="s">
        <v>28</v>
      </c>
      <c r="Q6" s="67"/>
      <c r="R6" s="67"/>
      <c r="S6" s="29"/>
      <c r="T6" s="29"/>
    </row>
    <row r="7" spans="1:20" ht="38.1" customHeight="1" x14ac:dyDescent="0.25">
      <c r="A7" s="30" t="s">
        <v>29</v>
      </c>
      <c r="B7" s="30" t="s">
        <v>30</v>
      </c>
      <c r="C7" s="30" t="s">
        <v>31</v>
      </c>
      <c r="D7" s="30" t="s">
        <v>32</v>
      </c>
      <c r="E7" s="30" t="s">
        <v>33</v>
      </c>
      <c r="F7" s="30" t="s">
        <v>34</v>
      </c>
      <c r="G7" s="30" t="s">
        <v>35</v>
      </c>
      <c r="H7" s="30" t="s">
        <v>36</v>
      </c>
      <c r="I7" s="30" t="s">
        <v>37</v>
      </c>
      <c r="J7" s="30" t="s">
        <v>35</v>
      </c>
      <c r="K7" s="30" t="s">
        <v>36</v>
      </c>
      <c r="L7" s="30" t="s">
        <v>37</v>
      </c>
      <c r="M7" s="30" t="s">
        <v>35</v>
      </c>
      <c r="N7" s="30" t="s">
        <v>36</v>
      </c>
      <c r="O7" s="30" t="s">
        <v>37</v>
      </c>
      <c r="P7" s="30" t="s">
        <v>35</v>
      </c>
      <c r="Q7" s="30" t="s">
        <v>36</v>
      </c>
      <c r="R7" s="30" t="s">
        <v>37</v>
      </c>
      <c r="S7" s="30" t="s">
        <v>38</v>
      </c>
      <c r="T7" s="30" t="s">
        <v>39</v>
      </c>
    </row>
    <row r="8" spans="1:20" ht="36" customHeight="1" x14ac:dyDescent="0.25">
      <c r="A8" s="31">
        <v>1</v>
      </c>
      <c r="B8" s="32" t="s">
        <v>97</v>
      </c>
      <c r="C8" s="33">
        <v>4</v>
      </c>
      <c r="D8" s="33" t="s">
        <v>98</v>
      </c>
      <c r="E8" s="34">
        <v>90</v>
      </c>
      <c r="F8" s="35" t="s">
        <v>99</v>
      </c>
      <c r="G8" s="33">
        <v>90</v>
      </c>
      <c r="H8" s="33">
        <v>6</v>
      </c>
      <c r="I8" s="8" t="s">
        <v>100</v>
      </c>
      <c r="J8" s="33">
        <v>100</v>
      </c>
      <c r="K8" s="33">
        <v>6</v>
      </c>
      <c r="L8" s="9" t="s">
        <v>101</v>
      </c>
      <c r="M8" s="33">
        <v>110</v>
      </c>
      <c r="N8" s="33">
        <v>6</v>
      </c>
      <c r="O8" s="10" t="s">
        <v>102</v>
      </c>
      <c r="P8" s="33">
        <v>120</v>
      </c>
      <c r="Q8" s="33">
        <v>6</v>
      </c>
      <c r="R8" s="10" t="s">
        <v>103</v>
      </c>
      <c r="S8" s="33" t="str">
        <f>IF(Q8="","–",IF(ISNUMBER(Q8),IF(Q8&gt;6,"✓ TAK – dodaj 2,5 kg","✗ NIE – zostań z ciężarem"),"–"))</f>
        <v>✗ NIE – zostań z ciężarem</v>
      </c>
      <c r="T8" s="36"/>
    </row>
    <row r="9" spans="1:20" ht="36" customHeight="1" x14ac:dyDescent="0.25">
      <c r="A9" s="37">
        <v>2</v>
      </c>
      <c r="B9" s="14" t="s">
        <v>104</v>
      </c>
      <c r="C9" s="15">
        <v>4</v>
      </c>
      <c r="D9" s="15" t="s">
        <v>41</v>
      </c>
      <c r="E9" s="16" t="s">
        <v>105</v>
      </c>
      <c r="F9" s="7" t="s">
        <v>42</v>
      </c>
      <c r="G9" s="15" t="s">
        <v>155</v>
      </c>
      <c r="H9" s="15">
        <v>6</v>
      </c>
      <c r="I9" s="9" t="s">
        <v>106</v>
      </c>
      <c r="J9" s="15" t="s">
        <v>155</v>
      </c>
      <c r="K9" s="15">
        <v>6</v>
      </c>
      <c r="L9" s="10" t="s">
        <v>107</v>
      </c>
      <c r="M9" s="15" t="s">
        <v>155</v>
      </c>
      <c r="N9" s="15">
        <v>5</v>
      </c>
      <c r="O9" s="10" t="s">
        <v>107</v>
      </c>
      <c r="P9" s="15" t="s">
        <v>155</v>
      </c>
      <c r="Q9" s="15">
        <v>4</v>
      </c>
      <c r="R9" s="11" t="s">
        <v>46</v>
      </c>
      <c r="S9" s="15" t="str">
        <f>IF(Q9="","–",IF(ISNUMBER(Q9),IF(Q9&gt;8,"✓ TAK – dodaj 2,5 kg","✗ NIE – zostań z ciężarem"),"–"))</f>
        <v>✗ NIE – zostań z ciężarem</v>
      </c>
      <c r="T9" s="18" t="s">
        <v>108</v>
      </c>
    </row>
    <row r="10" spans="1:20" ht="36" customHeight="1" x14ac:dyDescent="0.25">
      <c r="A10" s="31">
        <v>3</v>
      </c>
      <c r="B10" s="32" t="s">
        <v>109</v>
      </c>
      <c r="C10" s="33">
        <v>3</v>
      </c>
      <c r="D10" s="33" t="s">
        <v>110</v>
      </c>
      <c r="E10" s="34" t="s">
        <v>154</v>
      </c>
      <c r="F10" s="7" t="s">
        <v>42</v>
      </c>
      <c r="G10" s="33" t="s">
        <v>157</v>
      </c>
      <c r="H10" s="33">
        <v>12</v>
      </c>
      <c r="I10" s="9" t="s">
        <v>51</v>
      </c>
      <c r="J10" s="33" t="s">
        <v>158</v>
      </c>
      <c r="K10" s="33">
        <v>10</v>
      </c>
      <c r="L10" s="10" t="s">
        <v>69</v>
      </c>
      <c r="M10" s="33" t="s">
        <v>159</v>
      </c>
      <c r="N10" s="33">
        <v>9</v>
      </c>
      <c r="O10" s="11" t="s">
        <v>46</v>
      </c>
      <c r="P10" s="17"/>
      <c r="Q10" s="17"/>
      <c r="R10" s="17"/>
      <c r="S10" s="33" t="str">
        <f>IF(N10="","–",IF(ISNUMBER(N10),IF(N10&gt;12,"✓ TAK – dodaj 2,5 kg","✗ NIE – zostań z ciężarem"),"–"))</f>
        <v>✗ NIE – zostań z ciężarem</v>
      </c>
      <c r="T10" s="38" t="s">
        <v>111</v>
      </c>
    </row>
    <row r="11" spans="1:20" ht="15.95" customHeight="1" x14ac:dyDescent="0.25">
      <c r="A11" s="74" t="s">
        <v>71</v>
      </c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</row>
    <row r="12" spans="1:20" x14ac:dyDescent="0.25">
      <c r="B12" t="s">
        <v>156</v>
      </c>
      <c r="G12">
        <v>50</v>
      </c>
      <c r="H12">
        <v>10</v>
      </c>
      <c r="J12">
        <v>60</v>
      </c>
      <c r="K12">
        <v>8</v>
      </c>
      <c r="M12">
        <v>60</v>
      </c>
      <c r="N12">
        <v>8</v>
      </c>
      <c r="P12">
        <v>70</v>
      </c>
      <c r="Q12">
        <v>8</v>
      </c>
    </row>
    <row r="13" spans="1:20" ht="21.95" customHeight="1" x14ac:dyDescent="0.25">
      <c r="A13" s="72" t="s">
        <v>73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</row>
    <row r="14" spans="1:20" ht="27.95" customHeight="1" x14ac:dyDescent="0.25">
      <c r="A14" s="39" t="s">
        <v>3</v>
      </c>
      <c r="B14" s="62" t="s">
        <v>4</v>
      </c>
      <c r="C14" s="63"/>
      <c r="D14" s="63"/>
      <c r="E14" s="63"/>
      <c r="F14" s="39" t="s">
        <v>5</v>
      </c>
      <c r="G14" s="62" t="s">
        <v>6</v>
      </c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40"/>
    </row>
    <row r="15" spans="1:20" ht="24" customHeight="1" x14ac:dyDescent="0.25">
      <c r="A15" s="41" t="s">
        <v>7</v>
      </c>
      <c r="B15" s="69" t="s">
        <v>8</v>
      </c>
      <c r="C15" s="70"/>
      <c r="D15" s="70"/>
      <c r="E15" s="70"/>
      <c r="F15" s="43" t="s">
        <v>9</v>
      </c>
      <c r="G15" s="76" t="s">
        <v>74</v>
      </c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42"/>
    </row>
    <row r="16" spans="1:20" ht="24" customHeight="1" x14ac:dyDescent="0.25">
      <c r="A16" s="26" t="s">
        <v>7</v>
      </c>
      <c r="B16" s="68" t="s">
        <v>75</v>
      </c>
      <c r="C16" s="61"/>
      <c r="D16" s="61"/>
      <c r="E16" s="61"/>
      <c r="F16" s="44" t="s">
        <v>76</v>
      </c>
      <c r="G16" s="60" t="s">
        <v>77</v>
      </c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27"/>
    </row>
    <row r="17" spans="1:20" ht="24" customHeight="1" x14ac:dyDescent="0.25">
      <c r="A17" s="41" t="s">
        <v>78</v>
      </c>
      <c r="B17" s="69" t="s">
        <v>79</v>
      </c>
      <c r="C17" s="70"/>
      <c r="D17" s="70"/>
      <c r="E17" s="70"/>
      <c r="F17" s="43" t="s">
        <v>16</v>
      </c>
      <c r="G17" s="76" t="s">
        <v>80</v>
      </c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42"/>
    </row>
    <row r="18" spans="1:20" ht="24" customHeight="1" x14ac:dyDescent="0.25">
      <c r="A18" s="26" t="s">
        <v>78</v>
      </c>
      <c r="B18" s="68" t="s">
        <v>81</v>
      </c>
      <c r="C18" s="61"/>
      <c r="D18" s="61"/>
      <c r="E18" s="61"/>
      <c r="F18" s="44" t="s">
        <v>16</v>
      </c>
      <c r="G18" s="60" t="s">
        <v>82</v>
      </c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27"/>
    </row>
    <row r="19" spans="1:20" ht="24" customHeight="1" x14ac:dyDescent="0.25">
      <c r="A19" s="41" t="s">
        <v>83</v>
      </c>
      <c r="B19" s="69" t="s">
        <v>84</v>
      </c>
      <c r="C19" s="70"/>
      <c r="D19" s="70"/>
      <c r="E19" s="70"/>
      <c r="F19" s="43" t="s">
        <v>16</v>
      </c>
      <c r="G19" s="76" t="s">
        <v>85</v>
      </c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42"/>
    </row>
    <row r="20" spans="1:20" ht="24" hidden="1" customHeight="1" x14ac:dyDescent="0.25">
      <c r="A20" s="26" t="s">
        <v>83</v>
      </c>
      <c r="B20" s="68" t="s">
        <v>18</v>
      </c>
      <c r="C20" s="61"/>
      <c r="D20" s="61"/>
      <c r="E20" s="61"/>
      <c r="F20" s="44" t="s">
        <v>16</v>
      </c>
      <c r="G20" s="60" t="s">
        <v>86</v>
      </c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27"/>
    </row>
    <row r="21" spans="1:20" ht="24" customHeight="1" x14ac:dyDescent="0.25">
      <c r="A21" s="41" t="s">
        <v>83</v>
      </c>
      <c r="B21" s="69" t="s">
        <v>87</v>
      </c>
      <c r="C21" s="70"/>
      <c r="D21" s="70"/>
      <c r="E21" s="70"/>
      <c r="F21" s="43" t="s">
        <v>16</v>
      </c>
      <c r="G21" s="76" t="s">
        <v>88</v>
      </c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42"/>
    </row>
    <row r="22" spans="1:20" ht="24" customHeight="1" x14ac:dyDescent="0.25">
      <c r="A22" s="26" t="s">
        <v>83</v>
      </c>
      <c r="B22" s="68" t="s">
        <v>89</v>
      </c>
      <c r="C22" s="61"/>
      <c r="D22" s="61"/>
      <c r="E22" s="61"/>
      <c r="F22" s="44" t="s">
        <v>16</v>
      </c>
      <c r="G22" s="60" t="s">
        <v>90</v>
      </c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27"/>
    </row>
    <row r="23" spans="1:20" ht="24" customHeight="1" x14ac:dyDescent="0.25">
      <c r="A23" s="41" t="s">
        <v>83</v>
      </c>
      <c r="B23" s="69" t="s">
        <v>91</v>
      </c>
      <c r="C23" s="70"/>
      <c r="D23" s="70"/>
      <c r="E23" s="70"/>
      <c r="F23" s="43" t="s">
        <v>16</v>
      </c>
      <c r="G23" s="76" t="s">
        <v>92</v>
      </c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42"/>
    </row>
    <row r="24" spans="1:20" ht="24" customHeight="1" x14ac:dyDescent="0.25">
      <c r="A24" s="26" t="s">
        <v>93</v>
      </c>
      <c r="B24" s="68" t="s">
        <v>94</v>
      </c>
      <c r="C24" s="61"/>
      <c r="D24" s="61"/>
      <c r="E24" s="61"/>
      <c r="F24" s="44" t="s">
        <v>16</v>
      </c>
      <c r="G24" s="60" t="s">
        <v>95</v>
      </c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27"/>
    </row>
    <row r="25" spans="1:20" ht="18" customHeight="1" x14ac:dyDescent="0.25">
      <c r="A25" s="75" t="s">
        <v>96</v>
      </c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</row>
  </sheetData>
  <mergeCells count="32">
    <mergeCell ref="A25:T25"/>
    <mergeCell ref="B16:E16"/>
    <mergeCell ref="B14:E14"/>
    <mergeCell ref="G22:S22"/>
    <mergeCell ref="B24:E24"/>
    <mergeCell ref="G16:S16"/>
    <mergeCell ref="B21:E21"/>
    <mergeCell ref="G23:S23"/>
    <mergeCell ref="B15:E15"/>
    <mergeCell ref="G21:S21"/>
    <mergeCell ref="B22:E22"/>
    <mergeCell ref="G19:S19"/>
    <mergeCell ref="G18:S18"/>
    <mergeCell ref="G15:S15"/>
    <mergeCell ref="B23:E23"/>
    <mergeCell ref="G17:S17"/>
    <mergeCell ref="A1:T1"/>
    <mergeCell ref="A13:T13"/>
    <mergeCell ref="J6:L6"/>
    <mergeCell ref="A5:T5"/>
    <mergeCell ref="M6:O6"/>
    <mergeCell ref="A11:T11"/>
    <mergeCell ref="G24:S24"/>
    <mergeCell ref="G14:S14"/>
    <mergeCell ref="A2:T2"/>
    <mergeCell ref="P6:R6"/>
    <mergeCell ref="G6:I6"/>
    <mergeCell ref="B20:E20"/>
    <mergeCell ref="G20:S20"/>
    <mergeCell ref="B18:E18"/>
    <mergeCell ref="B19:E19"/>
    <mergeCell ref="B17:E17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7"/>
  <sheetViews>
    <sheetView topLeftCell="A4" workbookViewId="0">
      <selection activeCell="H10" sqref="H10"/>
    </sheetView>
  </sheetViews>
  <sheetFormatPr defaultColWidth="10" defaultRowHeight="15" x14ac:dyDescent="0.25"/>
  <cols>
    <col min="1" max="1" width="9.42578125" bestFit="1" customWidth="1"/>
    <col min="2" max="2" width="20.140625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18" bestFit="1" customWidth="1"/>
    <col min="16" max="16" width="6.140625" bestFit="1" customWidth="1"/>
    <col min="17" max="17" width="5.5703125" bestFit="1" customWidth="1"/>
    <col min="18" max="18" width="20" customWidth="1"/>
    <col min="19" max="19" width="15.7109375" bestFit="1" customWidth="1"/>
    <col min="20" max="20" width="24" bestFit="1" customWidth="1"/>
  </cols>
  <sheetData>
    <row r="1" spans="1:20" ht="27.95" customHeight="1" x14ac:dyDescent="0.25">
      <c r="A1" s="91" t="s">
        <v>112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</row>
    <row r="2" spans="1:20" ht="18" customHeight="1" x14ac:dyDescent="0.25">
      <c r="A2" s="97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94" t="s">
        <v>24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</row>
    <row r="6" spans="1:20" ht="15.95" customHeight="1" x14ac:dyDescent="0.25">
      <c r="A6" s="45"/>
      <c r="B6" s="45"/>
      <c r="C6" s="45"/>
      <c r="D6" s="45"/>
      <c r="E6" s="45"/>
      <c r="F6" s="45"/>
      <c r="G6" s="92" t="s">
        <v>25</v>
      </c>
      <c r="H6" s="93"/>
      <c r="I6" s="93"/>
      <c r="J6" s="92" t="s">
        <v>26</v>
      </c>
      <c r="K6" s="93"/>
      <c r="L6" s="93"/>
      <c r="M6" s="92" t="s">
        <v>27</v>
      </c>
      <c r="N6" s="93"/>
      <c r="O6" s="93"/>
      <c r="P6" s="92" t="s">
        <v>28</v>
      </c>
      <c r="Q6" s="93"/>
      <c r="R6" s="93"/>
      <c r="S6" s="45"/>
      <c r="T6" s="45"/>
    </row>
    <row r="7" spans="1:20" ht="38.1" customHeight="1" x14ac:dyDescent="0.25">
      <c r="A7" s="46" t="s">
        <v>29</v>
      </c>
      <c r="B7" s="46" t="s">
        <v>30</v>
      </c>
      <c r="C7" s="46" t="s">
        <v>31</v>
      </c>
      <c r="D7" s="46" t="s">
        <v>32</v>
      </c>
      <c r="E7" s="46" t="s">
        <v>33</v>
      </c>
      <c r="F7" s="46" t="s">
        <v>34</v>
      </c>
      <c r="G7" s="46" t="s">
        <v>35</v>
      </c>
      <c r="H7" s="46" t="s">
        <v>36</v>
      </c>
      <c r="I7" s="46" t="s">
        <v>37</v>
      </c>
      <c r="J7" s="46" t="s">
        <v>35</v>
      </c>
      <c r="K7" s="46" t="s">
        <v>36</v>
      </c>
      <c r="L7" s="46" t="s">
        <v>37</v>
      </c>
      <c r="M7" s="46" t="s">
        <v>35</v>
      </c>
      <c r="N7" s="46" t="s">
        <v>36</v>
      </c>
      <c r="O7" s="46" t="s">
        <v>37</v>
      </c>
      <c r="P7" s="46" t="s">
        <v>35</v>
      </c>
      <c r="Q7" s="46" t="s">
        <v>36</v>
      </c>
      <c r="R7" s="46" t="s">
        <v>37</v>
      </c>
      <c r="S7" s="46" t="s">
        <v>38</v>
      </c>
      <c r="T7" s="46" t="s">
        <v>39</v>
      </c>
    </row>
    <row r="8" spans="1:20" ht="36" customHeight="1" x14ac:dyDescent="0.25">
      <c r="A8" s="47">
        <v>1</v>
      </c>
      <c r="B8" s="48" t="s">
        <v>144</v>
      </c>
      <c r="C8" s="49">
        <v>4</v>
      </c>
      <c r="D8" s="49" t="s">
        <v>145</v>
      </c>
      <c r="E8" s="50">
        <v>70</v>
      </c>
      <c r="F8" s="35" t="s">
        <v>99</v>
      </c>
      <c r="G8" s="49"/>
      <c r="H8" s="49"/>
      <c r="I8" s="8" t="s">
        <v>146</v>
      </c>
      <c r="J8" s="49"/>
      <c r="K8" s="49"/>
      <c r="L8" s="9" t="s">
        <v>106</v>
      </c>
      <c r="M8" s="49"/>
      <c r="N8" s="49"/>
      <c r="O8" s="10" t="s">
        <v>107</v>
      </c>
      <c r="P8" s="49"/>
      <c r="Q8" s="49"/>
      <c r="R8" s="10" t="s">
        <v>147</v>
      </c>
      <c r="S8" s="49" t="str">
        <f>IF(Q8="","–",IF(ISNUMBER(Q8),IF(Q8&gt;8,"✓ TAK – dodaj 2,5 kg","✗ NIE – zostań z ciężarem"),"–"))</f>
        <v>–</v>
      </c>
      <c r="T8" s="51"/>
    </row>
    <row r="9" spans="1:20" ht="36" customHeight="1" x14ac:dyDescent="0.25">
      <c r="A9" s="52">
        <v>2</v>
      </c>
      <c r="B9" s="14" t="s">
        <v>148</v>
      </c>
      <c r="C9" s="15">
        <v>3</v>
      </c>
      <c r="D9" s="15" t="s">
        <v>49</v>
      </c>
      <c r="E9" s="16">
        <v>40</v>
      </c>
      <c r="F9" s="7" t="s">
        <v>42</v>
      </c>
      <c r="G9" s="15"/>
      <c r="H9" s="15"/>
      <c r="I9" s="9" t="s">
        <v>149</v>
      </c>
      <c r="J9" s="15"/>
      <c r="K9" s="15"/>
      <c r="L9" s="10" t="s">
        <v>150</v>
      </c>
      <c r="M9" s="15"/>
      <c r="N9" s="15"/>
      <c r="O9" s="11" t="s">
        <v>46</v>
      </c>
      <c r="P9" s="17"/>
      <c r="Q9" s="17"/>
      <c r="R9" s="17"/>
      <c r="S9" s="15" t="str">
        <f>IF(N9="","–",IF(ISNUMBER(N9),IF(N9&gt;10,"✓ TAK – dodaj 2,5 kg","✗ NIE – zostań z ciężarem"),"–"))</f>
        <v>–</v>
      </c>
      <c r="T9" s="18" t="s">
        <v>151</v>
      </c>
    </row>
    <row r="10" spans="1:20" ht="36" customHeight="1" x14ac:dyDescent="0.25">
      <c r="A10" s="47">
        <v>3</v>
      </c>
      <c r="B10" s="48" t="s">
        <v>152</v>
      </c>
      <c r="C10" s="49">
        <v>3</v>
      </c>
      <c r="D10" s="49" t="s">
        <v>110</v>
      </c>
      <c r="E10" s="50">
        <v>50</v>
      </c>
      <c r="F10" s="7" t="s">
        <v>42</v>
      </c>
      <c r="G10" s="49"/>
      <c r="H10" s="49"/>
      <c r="I10" s="9" t="s">
        <v>51</v>
      </c>
      <c r="J10" s="49"/>
      <c r="K10" s="49"/>
      <c r="L10" s="10" t="s">
        <v>69</v>
      </c>
      <c r="M10" s="49"/>
      <c r="N10" s="49"/>
      <c r="O10" s="11" t="s">
        <v>46</v>
      </c>
      <c r="P10" s="17"/>
      <c r="Q10" s="17"/>
      <c r="R10" s="17"/>
      <c r="S10" s="49" t="str">
        <f>IF(N10="","–",IF(ISNUMBER(N10),IF(N10&gt;12,"✓ TAK – dodaj 2,5 kg","✗ NIE – zostań z ciężarem"),"–"))</f>
        <v>–</v>
      </c>
      <c r="T10" s="53" t="s">
        <v>153</v>
      </c>
    </row>
    <row r="11" spans="1:20" ht="15.95" customHeight="1" x14ac:dyDescent="0.25">
      <c r="A11" s="74" t="s">
        <v>71</v>
      </c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</row>
    <row r="13" spans="1:20" ht="21.95" customHeight="1" x14ac:dyDescent="0.25">
      <c r="A13" s="98" t="s">
        <v>113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</row>
    <row r="14" spans="1:20" ht="27.95" customHeight="1" x14ac:dyDescent="0.25">
      <c r="A14" s="54" t="s">
        <v>3</v>
      </c>
      <c r="B14" s="95" t="s">
        <v>4</v>
      </c>
      <c r="C14" s="96"/>
      <c r="D14" s="96"/>
      <c r="E14" s="96"/>
      <c r="F14" s="54" t="s">
        <v>5</v>
      </c>
      <c r="G14" s="95" t="s">
        <v>6</v>
      </c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55"/>
    </row>
    <row r="15" spans="1:20" ht="24" customHeight="1" x14ac:dyDescent="0.25">
      <c r="A15" s="56" t="s">
        <v>7</v>
      </c>
      <c r="B15" s="88" t="s">
        <v>114</v>
      </c>
      <c r="C15" s="89"/>
      <c r="D15" s="89"/>
      <c r="E15" s="89"/>
      <c r="F15" s="58" t="s">
        <v>115</v>
      </c>
      <c r="G15" s="90" t="s">
        <v>116</v>
      </c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57"/>
    </row>
    <row r="16" spans="1:20" ht="24" customHeight="1" x14ac:dyDescent="0.25">
      <c r="A16" s="26" t="s">
        <v>117</v>
      </c>
      <c r="B16" s="68" t="s">
        <v>118</v>
      </c>
      <c r="C16" s="61"/>
      <c r="D16" s="61"/>
      <c r="E16" s="61"/>
      <c r="F16" s="59" t="s">
        <v>16</v>
      </c>
      <c r="G16" s="60" t="s">
        <v>119</v>
      </c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27"/>
    </row>
    <row r="17" spans="1:20" ht="24" customHeight="1" x14ac:dyDescent="0.25">
      <c r="A17" s="56" t="s">
        <v>117</v>
      </c>
      <c r="B17" s="88" t="s">
        <v>120</v>
      </c>
      <c r="C17" s="89"/>
      <c r="D17" s="89"/>
      <c r="E17" s="89"/>
      <c r="F17" s="58" t="s">
        <v>16</v>
      </c>
      <c r="G17" s="90" t="s">
        <v>121</v>
      </c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57"/>
    </row>
    <row r="18" spans="1:20" ht="24" customHeight="1" x14ac:dyDescent="0.25">
      <c r="A18" s="26" t="s">
        <v>117</v>
      </c>
      <c r="B18" s="68" t="s">
        <v>122</v>
      </c>
      <c r="C18" s="61"/>
      <c r="D18" s="61"/>
      <c r="E18" s="61"/>
      <c r="F18" s="59" t="s">
        <v>16</v>
      </c>
      <c r="G18" s="60" t="s">
        <v>123</v>
      </c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27"/>
    </row>
    <row r="19" spans="1:20" ht="24" customHeight="1" x14ac:dyDescent="0.25">
      <c r="A19" s="56" t="s">
        <v>117</v>
      </c>
      <c r="B19" s="88" t="s">
        <v>124</v>
      </c>
      <c r="C19" s="89"/>
      <c r="D19" s="89"/>
      <c r="E19" s="89"/>
      <c r="F19" s="58" t="s">
        <v>16</v>
      </c>
      <c r="G19" s="90" t="s">
        <v>125</v>
      </c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57"/>
    </row>
    <row r="20" spans="1:20" ht="24" customHeight="1" x14ac:dyDescent="0.25">
      <c r="A20" s="26" t="s">
        <v>126</v>
      </c>
      <c r="B20" s="68" t="s">
        <v>127</v>
      </c>
      <c r="C20" s="61"/>
      <c r="D20" s="61"/>
      <c r="E20" s="61"/>
      <c r="F20" s="59" t="s">
        <v>16</v>
      </c>
      <c r="G20" s="60" t="s">
        <v>128</v>
      </c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27"/>
    </row>
    <row r="21" spans="1:20" ht="24" customHeight="1" x14ac:dyDescent="0.25">
      <c r="A21" s="56" t="s">
        <v>129</v>
      </c>
      <c r="B21" s="88" t="s">
        <v>130</v>
      </c>
      <c r="C21" s="89"/>
      <c r="D21" s="89"/>
      <c r="E21" s="89"/>
      <c r="F21" s="58" t="s">
        <v>16</v>
      </c>
      <c r="G21" s="90" t="s">
        <v>131</v>
      </c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57"/>
    </row>
    <row r="22" spans="1:20" ht="24" customHeight="1" x14ac:dyDescent="0.25">
      <c r="A22" s="26" t="s">
        <v>129</v>
      </c>
      <c r="B22" s="68" t="s">
        <v>132</v>
      </c>
      <c r="C22" s="61"/>
      <c r="D22" s="61"/>
      <c r="E22" s="61"/>
      <c r="F22" s="59" t="s">
        <v>16</v>
      </c>
      <c r="G22" s="60" t="s">
        <v>133</v>
      </c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27"/>
    </row>
    <row r="23" spans="1:20" ht="24" customHeight="1" x14ac:dyDescent="0.25">
      <c r="A23" s="56" t="s">
        <v>129</v>
      </c>
      <c r="B23" s="88" t="s">
        <v>134</v>
      </c>
      <c r="C23" s="89"/>
      <c r="D23" s="89"/>
      <c r="E23" s="89"/>
      <c r="F23" s="58" t="s">
        <v>16</v>
      </c>
      <c r="G23" s="90" t="s">
        <v>135</v>
      </c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57"/>
    </row>
    <row r="24" spans="1:20" ht="24" customHeight="1" x14ac:dyDescent="0.25">
      <c r="A24" s="26" t="s">
        <v>129</v>
      </c>
      <c r="B24" s="68" t="s">
        <v>136</v>
      </c>
      <c r="C24" s="61"/>
      <c r="D24" s="61"/>
      <c r="E24" s="61"/>
      <c r="F24" s="59" t="s">
        <v>16</v>
      </c>
      <c r="G24" s="60" t="s">
        <v>90</v>
      </c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27"/>
    </row>
    <row r="25" spans="1:20" ht="24" customHeight="1" x14ac:dyDescent="0.25">
      <c r="A25" s="56" t="s">
        <v>137</v>
      </c>
      <c r="B25" s="88" t="s">
        <v>138</v>
      </c>
      <c r="C25" s="89"/>
      <c r="D25" s="89"/>
      <c r="E25" s="89"/>
      <c r="F25" s="58" t="s">
        <v>16</v>
      </c>
      <c r="G25" s="90" t="s">
        <v>139</v>
      </c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57"/>
    </row>
    <row r="26" spans="1:20" ht="24" customHeight="1" x14ac:dyDescent="0.25">
      <c r="A26" s="26" t="s">
        <v>140</v>
      </c>
      <c r="B26" s="68" t="s">
        <v>141</v>
      </c>
      <c r="C26" s="61"/>
      <c r="D26" s="61"/>
      <c r="E26" s="61"/>
      <c r="F26" s="59" t="s">
        <v>16</v>
      </c>
      <c r="G26" s="60" t="s">
        <v>142</v>
      </c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27"/>
    </row>
    <row r="27" spans="1:20" ht="18" customHeight="1" x14ac:dyDescent="0.25">
      <c r="A27" s="75" t="s">
        <v>143</v>
      </c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</row>
  </sheetData>
  <mergeCells count="36">
    <mergeCell ref="A27:T27"/>
    <mergeCell ref="B24:E24"/>
    <mergeCell ref="M6:O6"/>
    <mergeCell ref="A11:T11"/>
    <mergeCell ref="B26:E26"/>
    <mergeCell ref="G26:S26"/>
    <mergeCell ref="B22:E22"/>
    <mergeCell ref="G24:S24"/>
    <mergeCell ref="A13:T13"/>
    <mergeCell ref="G21:S21"/>
    <mergeCell ref="G17:S17"/>
    <mergeCell ref="B16:E16"/>
    <mergeCell ref="B20:E20"/>
    <mergeCell ref="B21:E21"/>
    <mergeCell ref="B14:E14"/>
    <mergeCell ref="B18:E18"/>
    <mergeCell ref="A1:T1"/>
    <mergeCell ref="G18:S18"/>
    <mergeCell ref="P6:R6"/>
    <mergeCell ref="B19:E19"/>
    <mergeCell ref="G16:S16"/>
    <mergeCell ref="G6:I6"/>
    <mergeCell ref="G15:S15"/>
    <mergeCell ref="J6:L6"/>
    <mergeCell ref="A5:T5"/>
    <mergeCell ref="B15:E15"/>
    <mergeCell ref="G14:S14"/>
    <mergeCell ref="B17:E17"/>
    <mergeCell ref="A2:T2"/>
    <mergeCell ref="G19:S19"/>
    <mergeCell ref="G22:S22"/>
    <mergeCell ref="B25:E25"/>
    <mergeCell ref="G25:S25"/>
    <mergeCell ref="G23:S23"/>
    <mergeCell ref="G20:S20"/>
    <mergeCell ref="B23:E23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PUSH – Klatka · Barki · Triceps</vt:lpstr>
      <vt:lpstr>PULL – Plecy · Biceps</vt:lpstr>
      <vt:lpstr>NOGI – Uda · Pośladki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Krzysztof Zaraza - DSV</cp:lastModifiedBy>
  <dcterms:created xsi:type="dcterms:W3CDTF">2026-06-02T08:58:15Z</dcterms:created>
  <dcterms:modified xsi:type="dcterms:W3CDTF">2026-06-12T10:14:17Z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KSOReadingLayout">
    <vt:bool>false</vt:bool>
  </property>
  <property fmtid="{D5CDD505-2E9C-101B-9397-08002B2CF9AE}" pid="5" name="MSIP_Label_fc6c1fee-2f04-49ca-98cf-bcf61896c7fa_SiteId">
    <vt:lpwstr>4a90c23a-3ece-4ef2-b857-522f23b8204c</vt:lpwstr>
  </property>
  <property fmtid="{D5CDD505-2E9C-101B-9397-08002B2CF9AE}" pid="6" name="MSIP_Label_fc6c1fee-2f04-49ca-98cf-bcf61896c7fa_ActionId">
    <vt:lpwstr>79faf6d9-b91e-41e4-98ae-e90a4d6833e9</vt:lpwstr>
  </property>
  <property fmtid="{D5CDD505-2E9C-101B-9397-08002B2CF9AE}" pid="7" name="MSIP_Label_fc6c1fee-2f04-49ca-98cf-bcf61896c7fa_SetDate">
    <vt:lpwstr>2026-06-02T13:01:15Z</vt:lpwstr>
  </property>
  <property fmtid="{D5CDD505-2E9C-101B-9397-08002B2CF9AE}" pid="8" name="MSIP_Label_fc6c1fee-2f04-49ca-98cf-bcf61896c7fa_Method">
    <vt:lpwstr>Standard</vt:lpwstr>
  </property>
  <property fmtid="{D5CDD505-2E9C-101B-9397-08002B2CF9AE}" pid="9" name="MSIP_Label_fc6c1fee-2f04-49ca-98cf-bcf61896c7fa_Enabled">
    <vt:lpwstr>true</vt:lpwstr>
  </property>
  <property fmtid="{D5CDD505-2E9C-101B-9397-08002B2CF9AE}" pid="10" name="ICV">
    <vt:lpwstr>a5b873ef1af5460d9c608d7e04ca1385</vt:lpwstr>
  </property>
  <property fmtid="{D5CDD505-2E9C-101B-9397-08002B2CF9AE}" pid="11" name="MSIP_Label_fc6c1fee-2f04-49ca-98cf-bcf61896c7fa_Name">
    <vt:lpwstr>Internal</vt:lpwstr>
  </property>
</Properties>
</file>