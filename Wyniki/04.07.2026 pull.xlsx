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7" lowestEdited="7" rupBuild="30131"/>
  <workbookPr defaultThemeVersion="153222"/>
  <bookViews>
    <workbookView xWindow="-120" yWindow="-120" windowWidth="29040" windowHeight="15840" activeTab="0"/>
  </bookViews>
  <sheets>
    <sheet name="PULL – Plecy · Biceps" sheetId="2" r:id="rId1"/>
  </sheets>
  <calcPr calcId="191029"/>
</workbook>
</file>

<file path=xl/sharedStrings.xml><?xml version="1.0" encoding="utf-8"?>
<sst xmlns="http://schemas.openxmlformats.org/spreadsheetml/2006/main" uniqueCount="77" count="77">
  <si>
    <t>Progresja: gdy ostatnia seria (do upadku) przekracza górny pułap zakresu → następny trening dodaj 2,5 kg</t>
  </si>
  <si>
    <t>Faza</t>
  </si>
  <si>
    <t>Ćwiczenie / aktywność</t>
  </si>
  <si>
    <t>Czas</t>
  </si>
  <si>
    <t>Wskazówka</t>
  </si>
  <si>
    <t>🔵 Ogólna</t>
  </si>
  <si>
    <t>Rower / orbitrek</t>
  </si>
  <si>
    <t>5 min</t>
  </si>
  <si>
    <t>–</t>
  </si>
  <si>
    <t>50 kg × 5 powt.</t>
  </si>
  <si>
    <t>TRENING WŁAŚCIWY</t>
  </si>
  <si>
    <t>SERIA 1</t>
  </si>
  <si>
    <t>SERIA 2</t>
  </si>
  <si>
    <t>SERIA 3</t>
  </si>
  <si>
    <t>SERIA 4</t>
  </si>
  <si>
    <t>#</t>
  </si>
  <si>
    <t>Ćwiczenie</t>
  </si>
  <si>
    <t>Serie
w planie</t>
  </si>
  <si>
    <t>Zakres
powt.</t>
  </si>
  <si>
    <t>Ciężar startowy</t>
  </si>
  <si>
    <t>Ostatnia seria
do upadku?</t>
  </si>
  <si>
    <t>Ciężar
(kg)</t>
  </si>
  <si>
    <t>Powt.</t>
  </si>
  <si>
    <t>RIR cel
+ wskazówka</t>
  </si>
  <si>
    <t>Dodać ciężar
następny trening?</t>
  </si>
  <si>
    <t>Wskazówki techniczne</t>
  </si>
  <si>
    <t>6–8</t>
  </si>
  <si>
    <t>TAK – ostatnia seria do upadku</t>
  </si>
  <si>
    <t>RIR 0  –  DO UPADKU</t>
  </si>
  <si>
    <t>RIR 2  –  10 powt., 2 w zapasie</t>
  </si>
  <si>
    <t>RIR 1  –  11 powt., 1 w zapasie</t>
  </si>
  <si>
    <t>Kolory RIR: zielony=RIR 3, niebieski=RIR 2, pomarańczowy=RIR 1, czerwony=RIR 0/upadek. Szare pola = seria nie w planie.</t>
  </si>
  <si>
    <t>PULL – Plecy · Biceps</t>
  </si>
  <si>
    <t>ROZGRZEWKA – PULL</t>
  </si>
  <si>
    <t>umiarkowane tempo</t>
  </si>
  <si>
    <t>Kilka przysiadów BW + rotacje bioder</t>
  </si>
  <si>
    <t>2 min</t>
  </si>
  <si>
    <t>angażuje biodra i dolne plecy przed martwym</t>
  </si>
  <si>
    <t>🟠 Aktywacja przed MC</t>
  </si>
  <si>
    <t>Mostek biodrowy na podłodze 2 × 10</t>
  </si>
  <si>
    <t>aktywacja pośladków i stabilizatorów kręgosłupa</t>
  </si>
  <si>
    <t>Bird-dog 2 × 8 na stronę</t>
  </si>
  <si>
    <t>stabilizacja odcinka lędźwiowego</t>
  </si>
  <si>
    <t>🟠 Przed martwym ciągiem</t>
  </si>
  <si>
    <t>Gryf (20 kg) × 8 powt.</t>
  </si>
  <si>
    <t>tylko technika – pozycja pleców, ustawienie bioder</t>
  </si>
  <si>
    <t>zaczyna być czuć ciężar</t>
  </si>
  <si>
    <t>70 kg × 3 powt.</t>
  </si>
  <si>
    <t>krótka – nie zmęczyć się</t>
  </si>
  <si>
    <t>90 kg × 2 powt.</t>
  </si>
  <si>
    <t>ostatni skok przed roboczymi</t>
  </si>
  <si>
    <t>100 kg × 1 powt.</t>
  </si>
  <si>
    <t>aktywacja układu nerwowego – wchodzisz pewny w 110 kg</t>
  </si>
  <si>
    <t>🟠 Przed drążkiem</t>
  </si>
  <si>
    <t>5 luźnych podciągnięć z gumą lub niepełny zakres</t>
  </si>
  <si>
    <t>tylko jeśli czujesz sztywność w łokciach / barkach</t>
  </si>
  <si>
    <t>⚠  NIE rozciągaj statycznie dolnych pleców przed martwym – destabilizuje odcinek lędźwiowy.</t>
  </si>
  <si>
    <t>Martwy ciąg</t>
  </si>
  <si>
    <t>4–6</t>
  </si>
  <si>
    <t>⚠ NIGDY do upadku – ryzyko kręgosłupa</t>
  </si>
  <si>
    <t>RIR 3  –  4 powt., 3 w zapasie</t>
  </si>
  <si>
    <t>RIR 2  –  5 powt., 2 w zapasie</t>
  </si>
  <si>
    <t>RIR 1  –  5–6 powt., 1 w zapasie</t>
  </si>
  <si>
    <t>RIR 1  –  6 powt., 1 w zapasie – max RIR 1</t>
  </si>
  <si>
    <t>Podciąganie na drążku</t>
  </si>
  <si>
    <t>BW</t>
  </si>
  <si>
    <t>RIR 2  –  6 powt., 2 w zapasie</t>
  </si>
  <si>
    <t>RIR 1  –  7 powt., 1 w zapasie</t>
  </si>
  <si>
    <t>Uginanie hantlami stojąc</t>
  </si>
  <si>
    <t>10–12</t>
  </si>
  <si>
    <t>supinacja w górze, biceps zmęczony drążkiem</t>
  </si>
  <si>
    <t>Wiosłowanie sztangą</t>
  </si>
  <si>
    <t xml:space="preserve"> 8-10</t>
  </si>
  <si>
    <t>2 x 12,5</t>
  </si>
  <si>
    <t>RIR 1  –  9-10 powt., 1 w zapasie</t>
  </si>
  <si>
    <t>RIR 2  –  8-9 powt., 2 w zapasie</t>
  </si>
  <si>
    <t>neutral</t>
  </si>
</sst>
</file>

<file path=xl/styles.xml><?xml version="1.0" encoding="utf-8"?>
<styleSheet xmlns="http://schemas.openxmlformats.org/spreadsheetml/2006/main">
  <numFmts count="1">
    <numFmt numFmtId="0" formatCode="General"/>
  </numFmts>
  <fonts count="26">
    <font>
      <name val="Calibri"/>
      <sz val="11"/>
    </font>
    <font>
      <name val="Arial"/>
      <b/>
      <sz val="13"/>
      <color rgb="FFFFFFFF"/>
    </font>
    <font>
      <name val="Calibri"/>
      <sz val="11"/>
      <color rgb="FF000000"/>
    </font>
    <font>
      <name val="Arial"/>
      <i/>
      <sz val="9"/>
      <color rgb="FF1B5E20"/>
    </font>
    <font>
      <name val="Arial"/>
      <b/>
      <sz val="11"/>
      <color rgb="FFFFFFFF"/>
    </font>
    <font>
      <name val="Arial"/>
      <sz val="10"/>
      <color rgb="FFFFFFFF"/>
    </font>
    <font>
      <name val="Arial"/>
      <b/>
      <sz val="10"/>
      <color rgb="FFFFFFFF"/>
    </font>
    <font>
      <name val="Arial"/>
      <b/>
      <sz val="9"/>
      <color rgb="FFFFFFFF"/>
    </font>
    <font>
      <name val="Arial"/>
      <b/>
      <sz val="10"/>
      <color rgb="FF1B5E20"/>
    </font>
    <font>
      <name val="Arial"/>
      <b/>
      <sz val="10"/>
      <color rgb="FF000000"/>
    </font>
    <font>
      <name val="Arial"/>
      <sz val="10"/>
      <color rgb="FF000000"/>
    </font>
    <font>
      <name val="Arial"/>
      <charset val="238"/>
      <sz val="9"/>
      <color rgb="FF000000"/>
    </font>
    <font>
      <name val="Arial"/>
      <sz val="9"/>
      <color rgb="FFBF360C"/>
    </font>
    <font>
      <name val="Arial"/>
      <sz val="9"/>
      <color rgb="FF1B5E20"/>
    </font>
    <font>
      <name val="Arial"/>
      <sz val="9"/>
      <color rgb="FF1565C0"/>
    </font>
    <font>
      <name val="Arial"/>
      <sz val="9"/>
      <color rgb="FFE65100"/>
    </font>
    <font>
      <name val="Arial"/>
      <sz val="9"/>
      <color rgb="FF555555"/>
    </font>
    <font>
      <name val="Arial"/>
      <b/>
      <sz val="9"/>
      <color rgb="FFC62828"/>
    </font>
    <font>
      <name val="Arial"/>
      <i/>
      <sz val="9"/>
      <color rgb="FF555555"/>
    </font>
    <font>
      <name val="Arial"/>
      <sz val="10"/>
      <color rgb="FFCCCCCC"/>
    </font>
    <font>
      <name val="Arial"/>
      <i/>
      <sz val="8"/>
      <color rgb="FF888888"/>
    </font>
    <font>
      <name val="Arial"/>
      <sz val="8"/>
      <color rgb="FF000000"/>
    </font>
    <font>
      <name val="Arial"/>
      <b/>
      <sz val="9"/>
      <color rgb="FF000000"/>
    </font>
    <font>
      <name val="Arial"/>
      <b/>
      <sz val="9"/>
      <color rgb="FF1B4020"/>
    </font>
    <font>
      <name val="Arial"/>
      <i/>
      <sz val="9"/>
      <color rgb="FF444444"/>
    </font>
    <font>
      <name val="Arial"/>
      <i/>
      <sz val="9"/>
      <color rgb="FFBF360C"/>
    </font>
  </fonts>
  <fills count="16">
    <fill>
      <patternFill patternType="none"/>
    </fill>
    <fill>
      <patternFill patternType="gray125"/>
    </fill>
    <fill>
      <patternFill patternType="solid">
        <fgColor rgb="FF1B5E20"/>
      </patternFill>
    </fill>
    <fill>
      <patternFill patternType="solid">
        <fgColor rgb="FFC8E6C9"/>
      </patternFill>
    </fill>
    <fill>
      <patternFill patternType="solid">
        <fgColor rgb="FFE8F5E9"/>
      </patternFill>
    </fill>
    <fill>
      <patternFill patternType="solid">
        <fgColor rgb="FFE8F5E9"/>
        <bgColor indexed="64"/>
      </patternFill>
    </fill>
    <fill>
      <patternFill patternType="solid">
        <fgColor rgb="FFFFF3E0"/>
      </patternFill>
    </fill>
    <fill>
      <patternFill patternType="solid">
        <fgColor rgb="FFE3F2FD"/>
      </patternFill>
    </fill>
    <fill>
      <patternFill patternType="solid">
        <fgColor rgb="FFFFF8E1"/>
      </patternFill>
    </fill>
    <fill>
      <patternFill patternType="solid">
        <fgColor rgb="FFFFFFFF"/>
      </patternFill>
    </fill>
    <fill>
      <patternFill patternType="solid">
        <fgColor rgb="FFFFFFFF"/>
        <bgColor indexed="64"/>
      </patternFill>
    </fill>
    <fill>
      <patternFill patternType="solid">
        <fgColor rgb="FFFFF0F0"/>
      </patternFill>
    </fill>
    <fill>
      <patternFill patternType="solid">
        <fgColor rgb="FFF5F5F5"/>
      </patternFill>
    </fill>
    <fill>
      <patternFill patternType="solid">
        <fgColor rgb="FFFAFAFA"/>
      </patternFill>
    </fill>
    <fill>
      <patternFill patternType="solid">
        <fgColor rgb="FF1B4020"/>
      </patternFill>
    </fill>
    <fill>
      <patternFill patternType="solid">
        <fgColor rgb="FFF1F8E9"/>
      </patternFill>
    </fill>
  </fills>
  <borders count="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thin">
        <color rgb="FFCCCCCC"/>
      </right>
      <top/>
      <bottom/>
      <diagonal/>
    </border>
  </borders>
  <cellStyleXfs count="1">
    <xf numFmtId="0" fontId="0" fillId="0" borderId="0">
      <alignment vertical="center"/>
    </xf>
  </cellStyleXfs>
  <cellXfs count="47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vertical="bottom"/>
    </xf>
    <xf numFmtId="0" fontId="3" fillId="3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vertical="bottom"/>
    </xf>
    <xf numFmtId="0" fontId="7" fillId="2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center" vertical="center"/>
    </xf>
    <xf numFmtId="0" fontId="11" fillId="5" borderId="2" xfId="0" applyFont="1" applyFill="1" applyBorder="1" applyAlignment="1">
      <alignment horizontal="center" vertical="center" wrapText="1"/>
    </xf>
    <xf numFmtId="0" fontId="12" fillId="6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  <xf numFmtId="0" fontId="14" fillId="7" borderId="1" xfId="0" applyFont="1" applyFill="1" applyBorder="1" applyAlignment="1">
      <alignment horizontal="left" vertical="center" wrapText="1"/>
    </xf>
    <xf numFmtId="0" fontId="15" fillId="8" borderId="1" xfId="0" applyFont="1" applyFill="1" applyBorder="1" applyAlignment="1">
      <alignment horizontal="left" vertical="center" wrapText="1"/>
    </xf>
    <xf numFmtId="0" fontId="16" fillId="4" borderId="1" xfId="0" applyFont="1" applyFill="1" applyBorder="1" applyAlignment="1">
      <alignment horizontal="left" vertical="center" wrapText="1"/>
    </xf>
    <xf numFmtId="0" fontId="8" fillId="9" borderId="1" xfId="0" applyFont="1" applyFill="1" applyBorder="1" applyAlignment="1">
      <alignment horizontal="center" vertical="center"/>
    </xf>
    <xf numFmtId="0" fontId="9" fillId="9" borderId="1" xfId="0" applyFont="1" applyFill="1" applyBorder="1" applyAlignment="1">
      <alignment horizontal="left" vertical="center"/>
    </xf>
    <xf numFmtId="0" fontId="10" fillId="9" borderId="1" xfId="0" applyFont="1" applyFill="1" applyBorder="1" applyAlignment="1">
      <alignment horizontal="center" vertical="center"/>
    </xf>
    <xf numFmtId="0" fontId="11" fillId="10" borderId="2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center" vertical="center" wrapText="1"/>
    </xf>
    <xf numFmtId="0" fontId="17" fillId="11" borderId="1" xfId="0" applyFont="1" applyFill="1" applyBorder="1" applyAlignment="1">
      <alignment horizontal="left" vertical="center" wrapText="1"/>
    </xf>
    <xf numFmtId="0" fontId="18" fillId="9" borderId="1" xfId="0" applyFont="1" applyFill="1" applyBorder="1" applyAlignment="1">
      <alignment horizontal="left" vertical="center" wrapText="1"/>
    </xf>
    <xf numFmtId="0" fontId="10" fillId="4" borderId="3" xfId="0" applyFont="1" applyFill="1" applyBorder="1" applyAlignment="1">
      <alignment horizontal="center" vertical="center"/>
    </xf>
    <xf numFmtId="0" fontId="19" fillId="12" borderId="1" xfId="0" applyFont="1" applyFill="1" applyBorder="1" applyAlignment="1">
      <alignment horizontal="left" vertical="center"/>
    </xf>
    <xf numFmtId="0" fontId="18" fillId="4" borderId="1" xfId="0" applyFont="1" applyFill="1" applyBorder="1" applyAlignment="1">
      <alignment horizontal="left" vertical="center" wrapText="1"/>
    </xf>
    <xf numFmtId="0" fontId="20" fillId="13" borderId="0" xfId="0" applyFont="1" applyFill="1" applyAlignment="1">
      <alignment horizontal="left" vertical="center"/>
    </xf>
    <xf numFmtId="0" fontId="4" fillId="14" borderId="0" xfId="0" applyFont="1" applyFill="1" applyAlignment="1">
      <alignment horizontal="left" vertical="center"/>
    </xf>
    <xf numFmtId="0" fontId="7" fillId="14" borderId="1" xfId="0" applyFont="1" applyFill="1" applyBorder="1" applyAlignment="1">
      <alignment horizontal="center" vertical="center" wrapText="1"/>
    </xf>
    <xf numFmtId="0" fontId="7" fillId="14" borderId="1" xfId="0" applyFont="1" applyFill="1" applyBorder="1" applyAlignment="1">
      <alignment horizontal="center" vertical="center" wrapText="1"/>
    </xf>
    <xf numFmtId="0" fontId="5" fillId="14" borderId="1" xfId="0" applyFont="1" applyFill="1" applyBorder="1" applyAlignment="1">
      <alignment horizontal="left" vertical="center"/>
    </xf>
    <xf numFmtId="0" fontId="5" fillId="14" borderId="1" xfId="0" applyFont="1" applyFill="1" applyBorder="1" applyAlignment="1">
      <alignment horizontal="left" vertical="center"/>
    </xf>
    <xf numFmtId="0" fontId="21" fillId="15" borderId="1" xfId="0" applyFont="1" applyFill="1" applyBorder="1" applyAlignment="1">
      <alignment horizontal="center" vertical="center" wrapText="1"/>
    </xf>
    <xf numFmtId="0" fontId="22" fillId="15" borderId="1" xfId="0" applyFont="1" applyFill="1" applyBorder="1" applyAlignment="1">
      <alignment horizontal="left" vertical="center"/>
    </xf>
    <xf numFmtId="0" fontId="2" fillId="15" borderId="1" xfId="0" applyFont="1" applyFill="1" applyBorder="1" applyAlignment="1">
      <alignment vertical="bottom"/>
    </xf>
    <xf numFmtId="0" fontId="23" fillId="15" borderId="1" xfId="0" applyFont="1" applyFill="1" applyBorder="1" applyAlignment="1">
      <alignment horizontal="center" vertical="center"/>
    </xf>
    <xf numFmtId="0" fontId="24" fillId="15" borderId="1" xfId="0" applyFont="1" applyFill="1" applyBorder="1" applyAlignment="1">
      <alignment horizontal="left" vertical="center"/>
    </xf>
    <xf numFmtId="0" fontId="2" fillId="15" borderId="1" xfId="0" applyFont="1" applyFill="1" applyBorder="1" applyAlignment="1">
      <alignment vertical="bottom"/>
    </xf>
    <xf numFmtId="0" fontId="21" fillId="9" borderId="1" xfId="0" applyFont="1" applyFill="1" applyBorder="1" applyAlignment="1">
      <alignment horizontal="center" vertical="center" wrapText="1"/>
    </xf>
    <xf numFmtId="0" fontId="22" fillId="9" borderId="1" xfId="0" applyFont="1" applyFill="1" applyBorder="1" applyAlignment="1">
      <alignment horizontal="left" vertical="center"/>
    </xf>
    <xf numFmtId="0" fontId="2" fillId="9" borderId="1" xfId="0" applyFont="1" applyFill="1" applyBorder="1" applyAlignment="1">
      <alignment vertical="bottom"/>
    </xf>
    <xf numFmtId="0" fontId="23" fillId="9" borderId="1" xfId="0" applyFont="1" applyFill="1" applyBorder="1" applyAlignment="1">
      <alignment horizontal="center" vertical="center"/>
    </xf>
    <xf numFmtId="0" fontId="24" fillId="9" borderId="1" xfId="0" applyFont="1" applyFill="1" applyBorder="1" applyAlignment="1">
      <alignment horizontal="left" vertical="center"/>
    </xf>
    <xf numFmtId="0" fontId="2" fillId="9" borderId="1" xfId="0" applyFont="1" applyFill="1" applyBorder="1" applyAlignment="1">
      <alignment vertical="bottom"/>
    </xf>
    <xf numFmtId="0" fontId="25" fillId="6" borderId="0" xfId="0" applyFont="1" applyFill="1" applyAlignment="1">
      <alignment horizontal="left" vertical="center"/>
    </xf>
  </cellXfs>
  <cellStyles count="1">
    <cellStyle name="常规" xfId="0" builtinId="0"/>
  </cellStyles>
  <dxfs count="0"/>
  <tableStyles defaultTableStyle="TableStyleMedium9" defaultPivotStyle="PivotStyleLight16"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www.wps.cn/officeDocument/2020/cellImage" Target="cellimages.xml"/><Relationship Id="rId3" Type="http://schemas.openxmlformats.org/officeDocument/2006/relationships/sharedStrings" Target="sharedStrings.xml"/><Relationship Id="rId4" Type="http://schemas.openxmlformats.org/officeDocument/2006/relationships/styles" Target="styles.xml"/><Relationship Id="rId5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U26"/>
  <sheetViews>
    <sheetView tabSelected="1" workbookViewId="0" topLeftCell="K2">
      <selection activeCell="K11" sqref="K11"/>
    </sheetView>
  </sheetViews>
  <sheetFormatPr defaultRowHeight="15.0" defaultColWidth="10"/>
  <cols>
    <col min="1" max="1" customWidth="1" bestFit="1" width="13.140625" style="0"/>
    <col min="2" max="2" customWidth="1" bestFit="1" width="24.0" style="0"/>
    <col min="3" max="3" customWidth="1" bestFit="1" width="5.8554688" style="0"/>
    <col min="4" max="4" customWidth="1" bestFit="1" width="6.7109375" style="0"/>
    <col min="5" max="6" customWidth="1" bestFit="1" width="13.855469" style="0"/>
    <col min="7" max="7" customWidth="1" bestFit="1" width="6.140625" style="0"/>
    <col min="8" max="8" customWidth="1" bestFit="1" width="5.5703125" style="0"/>
    <col min="9" max="9" customWidth="1" bestFit="1" width="19.0" style="0"/>
    <col min="10" max="10" customWidth="1" bestFit="1" width="6.140625" style="0"/>
    <col min="11" max="11" customWidth="1" bestFit="1" width="5.5703125" style="0"/>
    <col min="12" max="12" customWidth="1" bestFit="1" width="19.0" style="0"/>
    <col min="13" max="13" customWidth="1" bestFit="1" width="6.140625" style="0"/>
    <col min="14" max="14" customWidth="1" bestFit="1" width="5.5703125" style="0"/>
    <col min="15" max="15" customWidth="1" width="20.0" style="0"/>
    <col min="16" max="16" customWidth="1" bestFit="1" width="6.140625" style="0"/>
    <col min="17" max="17" customWidth="1" bestFit="1" width="5.5703125" style="0"/>
    <col min="18" max="18" customWidth="1" bestFit="1" width="18.0" style="0"/>
    <col min="19" max="19" customWidth="1" bestFit="1" width="15.7109375" style="0"/>
    <col min="20" max="20" customWidth="1" bestFit="1" width="22.710938" style="0"/>
  </cols>
  <sheetData>
    <row r="1" spans="8:8" ht="27.95" customHeight="1">
      <c r="A1" s="1" t="s">
        <v>32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spans="8:8" ht="18.0" customHeight="1">
      <c r="A2" s="3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spans="8:8" ht="8.1" customHeight="1"/>
    <row r="4" spans="8:8" ht="8.1" customHeight="1"/>
    <row r="5" spans="8:8" ht="20.1" customHeight="1">
      <c r="A5" s="4" t="s">
        <v>10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</row>
    <row r="6" spans="8:8" ht="15.95" customHeight="1">
      <c r="A6" s="5"/>
      <c r="B6" s="5"/>
      <c r="C6" s="5"/>
      <c r="D6" s="5"/>
      <c r="E6" s="5"/>
      <c r="F6" s="5"/>
      <c r="G6" s="6" t="s">
        <v>11</v>
      </c>
      <c r="H6" s="7"/>
      <c r="I6" s="7"/>
      <c r="J6" s="6" t="s">
        <v>12</v>
      </c>
      <c r="K6" s="7"/>
      <c r="L6" s="7"/>
      <c r="M6" s="6" t="s">
        <v>13</v>
      </c>
      <c r="N6" s="7"/>
      <c r="O6" s="7"/>
      <c r="P6" s="6" t="s">
        <v>14</v>
      </c>
      <c r="Q6" s="7"/>
      <c r="R6" s="7"/>
      <c r="S6" s="5"/>
      <c r="T6" s="5"/>
    </row>
    <row r="7" spans="8:8" ht="38.1" customHeight="1">
      <c r="A7" s="8" t="s">
        <v>15</v>
      </c>
      <c r="B7" s="8" t="s">
        <v>16</v>
      </c>
      <c r="C7" s="8" t="s">
        <v>17</v>
      </c>
      <c r="D7" s="8" t="s">
        <v>18</v>
      </c>
      <c r="E7" s="8" t="s">
        <v>19</v>
      </c>
      <c r="F7" s="8" t="s">
        <v>20</v>
      </c>
      <c r="G7" s="8" t="s">
        <v>21</v>
      </c>
      <c r="H7" s="8" t="s">
        <v>22</v>
      </c>
      <c r="I7" s="8" t="s">
        <v>23</v>
      </c>
      <c r="J7" s="8" t="s">
        <v>21</v>
      </c>
      <c r="K7" s="8" t="s">
        <v>22</v>
      </c>
      <c r="L7" s="8" t="s">
        <v>23</v>
      </c>
      <c r="M7" s="8" t="s">
        <v>21</v>
      </c>
      <c r="N7" s="8" t="s">
        <v>22</v>
      </c>
      <c r="O7" s="8" t="s">
        <v>23</v>
      </c>
      <c r="P7" s="8" t="s">
        <v>21</v>
      </c>
      <c r="Q7" s="8" t="s">
        <v>22</v>
      </c>
      <c r="R7" s="8" t="s">
        <v>23</v>
      </c>
      <c r="S7" s="8" t="s">
        <v>24</v>
      </c>
      <c r="T7" s="8" t="s">
        <v>25</v>
      </c>
    </row>
    <row r="8" spans="8:8" ht="36.0" customHeight="1">
      <c r="A8" s="9">
        <v>1.0</v>
      </c>
      <c r="B8" s="10" t="s">
        <v>57</v>
      </c>
      <c r="C8" s="11">
        <v>4.0</v>
      </c>
      <c r="D8" s="11" t="s">
        <v>58</v>
      </c>
      <c r="E8" s="12">
        <v>95.0</v>
      </c>
      <c r="F8" s="13" t="s">
        <v>59</v>
      </c>
      <c r="G8" s="12">
        <v>95.0</v>
      </c>
      <c r="H8" s="11">
        <v>6.0</v>
      </c>
      <c r="I8" s="14" t="s">
        <v>60</v>
      </c>
      <c r="J8" s="11">
        <v>105.0</v>
      </c>
      <c r="K8" s="11">
        <v>6.0</v>
      </c>
      <c r="L8" s="15" t="s">
        <v>61</v>
      </c>
      <c r="M8" s="11">
        <v>115.0</v>
      </c>
      <c r="N8" s="11">
        <v>6.0</v>
      </c>
      <c r="O8" s="16" t="s">
        <v>62</v>
      </c>
      <c r="P8" s="11">
        <v>125.0</v>
      </c>
      <c r="Q8" s="11">
        <v>5.0</v>
      </c>
      <c r="R8" s="16" t="s">
        <v>63</v>
      </c>
      <c r="S8" s="11" t="str">
        <f>IF(Q8="","–",IF(ISNUMBER(Q8),IF(Q8&gt;6,"✓ TAK – dodaj 2,5 kg","✗ NIE – zostań z ciężarem"),"–"))</f>
        <v>✗ NIE – zostań z ciężarem</v>
      </c>
      <c r="T8" s="17"/>
    </row>
    <row r="9" spans="8:8" ht="36.0" customHeight="1">
      <c r="A9" s="18">
        <v>2.0</v>
      </c>
      <c r="B9" s="19" t="s">
        <v>64</v>
      </c>
      <c r="C9" s="20">
        <v>4.0</v>
      </c>
      <c r="D9" s="20" t="s">
        <v>26</v>
      </c>
      <c r="E9" s="21" t="s">
        <v>65</v>
      </c>
      <c r="F9" s="22" t="s">
        <v>27</v>
      </c>
      <c r="G9" s="21" t="s">
        <v>65</v>
      </c>
      <c r="H9" s="20">
        <v>7.0</v>
      </c>
      <c r="I9" s="15" t="s">
        <v>66</v>
      </c>
      <c r="J9" s="21" t="s">
        <v>65</v>
      </c>
      <c r="K9" s="20">
        <v>7.0</v>
      </c>
      <c r="L9" s="16" t="s">
        <v>67</v>
      </c>
      <c r="M9" s="21" t="s">
        <v>65</v>
      </c>
      <c r="N9" s="20">
        <v>6.0</v>
      </c>
      <c r="O9" s="16" t="s">
        <v>67</v>
      </c>
      <c r="P9" s="21" t="s">
        <v>65</v>
      </c>
      <c r="Q9" s="20">
        <v>6.0</v>
      </c>
      <c r="R9" s="23" t="s">
        <v>28</v>
      </c>
      <c r="S9" s="20" t="str">
        <f>IF(Q9="","–",IF(ISNUMBER(Q9),IF(Q9&gt;8,"✓ TAK – dodaj 2,5 kg","✗ NIE – zostań z ciężarem"),"–"))</f>
        <v>✗ NIE – zostań z ciężarem</v>
      </c>
      <c r="T9" s="24" t="s">
        <v>76</v>
      </c>
    </row>
    <row r="10" spans="8:8" ht="36.0" customHeight="1">
      <c r="A10" s="9">
        <v>3.0</v>
      </c>
      <c r="B10" s="10" t="s">
        <v>71</v>
      </c>
      <c r="C10" s="11">
        <v>4.0</v>
      </c>
      <c r="D10" s="11" t="s">
        <v>72</v>
      </c>
      <c r="E10" s="12">
        <v>57.5</v>
      </c>
      <c r="F10" s="22" t="s">
        <v>27</v>
      </c>
      <c r="G10" s="11">
        <v>58.0</v>
      </c>
      <c r="H10" s="11">
        <v>10.0</v>
      </c>
      <c r="I10" s="15" t="s">
        <v>75</v>
      </c>
      <c r="J10" s="11">
        <v>63.0</v>
      </c>
      <c r="K10" s="25">
        <v>10.0</v>
      </c>
      <c r="L10" s="16" t="s">
        <v>74</v>
      </c>
      <c r="M10" s="11">
        <v>67.5</v>
      </c>
      <c r="N10" s="11">
        <v>9.0</v>
      </c>
      <c r="O10" s="16" t="s">
        <v>74</v>
      </c>
      <c r="P10" s="11">
        <v>73.0</v>
      </c>
      <c r="Q10" s="11">
        <v>8.0</v>
      </c>
      <c r="R10" s="23" t="s">
        <v>28</v>
      </c>
      <c r="S10" s="11" t="str">
        <f>IF(Q10="","–",IF(ISNUMBER(Q10),IF(Q10&gt;6,"✓ TAK – dodaj 2,5 kg","✗ NIE – zostań z ciężarem"),"–"))</f>
        <v>✓ TAK – dodaj 2,5 kg</v>
      </c>
      <c r="T10" s="17"/>
    </row>
    <row r="11" spans="8:8" ht="36.0" customHeight="1">
      <c r="A11" s="18">
        <v>4.0</v>
      </c>
      <c r="B11" s="19" t="s">
        <v>68</v>
      </c>
      <c r="C11" s="20">
        <v>3.0</v>
      </c>
      <c r="D11" s="20" t="s">
        <v>69</v>
      </c>
      <c r="E11" s="21" t="s">
        <v>73</v>
      </c>
      <c r="F11" s="22" t="s">
        <v>27</v>
      </c>
      <c r="G11" s="21" t="s">
        <v>73</v>
      </c>
      <c r="H11" s="20">
        <v>10.0</v>
      </c>
      <c r="I11" s="15" t="s">
        <v>29</v>
      </c>
      <c r="J11" s="21" t="s">
        <v>73</v>
      </c>
      <c r="K11" s="20">
        <v>10.0</v>
      </c>
      <c r="L11" s="16" t="s">
        <v>30</v>
      </c>
      <c r="M11" s="21" t="s">
        <v>73</v>
      </c>
      <c r="N11" s="20"/>
      <c r="O11" s="23" t="s">
        <v>28</v>
      </c>
      <c r="P11" s="26"/>
      <c r="Q11" s="26"/>
      <c r="R11" s="26"/>
      <c r="S11" s="11" t="str">
        <f>IF(N11="","–",IF(ISNUMBER(N11),IF(N11&gt;12,"✓ TAK – dodaj 2,5 kg","✗ NIE – zostań z ciężarem"),"–"))</f>
        <v>–</v>
      </c>
      <c r="T11" s="27" t="s">
        <v>70</v>
      </c>
    </row>
    <row r="12" spans="8:8" ht="15.95" customHeight="1">
      <c r="A12" s="28" t="s">
        <v>31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</row>
    <row r="14" spans="8:8" ht="21.95" customHeight="1">
      <c r="A14" s="29" t="s">
        <v>33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</row>
    <row r="15" spans="8:8" ht="27.95" customHeight="1">
      <c r="A15" s="30" t="s">
        <v>1</v>
      </c>
      <c r="B15" s="31" t="s">
        <v>2</v>
      </c>
      <c r="C15" s="32"/>
      <c r="D15" s="32"/>
      <c r="E15" s="32"/>
      <c r="F15" s="30" t="s">
        <v>3</v>
      </c>
      <c r="G15" s="31" t="s">
        <v>4</v>
      </c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3"/>
    </row>
    <row r="16" spans="8:8" ht="24.0" customHeight="1">
      <c r="A16" s="34" t="s">
        <v>5</v>
      </c>
      <c r="B16" s="35" t="s">
        <v>6</v>
      </c>
      <c r="C16" s="36"/>
      <c r="D16" s="36"/>
      <c r="E16" s="36"/>
      <c r="F16" s="37" t="s">
        <v>7</v>
      </c>
      <c r="G16" s="38" t="s">
        <v>34</v>
      </c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9"/>
    </row>
    <row r="17" spans="8:8" ht="24.0" customHeight="1">
      <c r="A17" s="40" t="s">
        <v>5</v>
      </c>
      <c r="B17" s="41" t="s">
        <v>35</v>
      </c>
      <c r="C17" s="42"/>
      <c r="D17" s="42"/>
      <c r="E17" s="42"/>
      <c r="F17" s="43" t="s">
        <v>36</v>
      </c>
      <c r="G17" s="44" t="s">
        <v>37</v>
      </c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5"/>
    </row>
    <row r="18" spans="8:8" ht="24.0" customHeight="1">
      <c r="A18" s="34" t="s">
        <v>38</v>
      </c>
      <c r="B18" s="35" t="s">
        <v>39</v>
      </c>
      <c r="C18" s="36"/>
      <c r="D18" s="36"/>
      <c r="E18" s="36"/>
      <c r="F18" s="37" t="s">
        <v>8</v>
      </c>
      <c r="G18" s="38" t="s">
        <v>40</v>
      </c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9"/>
    </row>
    <row r="19" spans="8:8" ht="24.0" customHeight="1">
      <c r="A19" s="40" t="s">
        <v>38</v>
      </c>
      <c r="B19" s="41" t="s">
        <v>41</v>
      </c>
      <c r="C19" s="42"/>
      <c r="D19" s="42"/>
      <c r="E19" s="42"/>
      <c r="F19" s="43" t="s">
        <v>8</v>
      </c>
      <c r="G19" s="44" t="s">
        <v>42</v>
      </c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5"/>
    </row>
    <row r="20" spans="8:8" ht="24.0" customHeight="1">
      <c r="A20" s="34" t="s">
        <v>43</v>
      </c>
      <c r="B20" s="35" t="s">
        <v>44</v>
      </c>
      <c r="C20" s="36"/>
      <c r="D20" s="36"/>
      <c r="E20" s="36"/>
      <c r="F20" s="37" t="s">
        <v>8</v>
      </c>
      <c r="G20" s="38" t="s">
        <v>45</v>
      </c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9"/>
    </row>
    <row r="21" spans="8:8" ht="24.0" customHeight="1">
      <c r="A21" s="40" t="s">
        <v>43</v>
      </c>
      <c r="B21" s="41" t="s">
        <v>9</v>
      </c>
      <c r="C21" s="42"/>
      <c r="D21" s="42"/>
      <c r="E21" s="42"/>
      <c r="F21" s="43" t="s">
        <v>8</v>
      </c>
      <c r="G21" s="44" t="s">
        <v>46</v>
      </c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5"/>
    </row>
    <row r="22" spans="8:8" ht="24.0" customHeight="1">
      <c r="A22" s="34" t="s">
        <v>43</v>
      </c>
      <c r="B22" s="35" t="s">
        <v>47</v>
      </c>
      <c r="C22" s="36"/>
      <c r="D22" s="36"/>
      <c r="E22" s="36"/>
      <c r="F22" s="37" t="s">
        <v>8</v>
      </c>
      <c r="G22" s="38" t="s">
        <v>48</v>
      </c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9"/>
    </row>
    <row r="23" spans="8:8" ht="24.0" customHeight="1">
      <c r="A23" s="40" t="s">
        <v>43</v>
      </c>
      <c r="B23" s="41" t="s">
        <v>49</v>
      </c>
      <c r="C23" s="42"/>
      <c r="D23" s="42"/>
      <c r="E23" s="42"/>
      <c r="F23" s="43" t="s">
        <v>8</v>
      </c>
      <c r="G23" s="44" t="s">
        <v>50</v>
      </c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5"/>
    </row>
    <row r="24" spans="8:8" ht="24.0" customHeight="1">
      <c r="A24" s="34" t="s">
        <v>43</v>
      </c>
      <c r="B24" s="35" t="s">
        <v>51</v>
      </c>
      <c r="C24" s="36"/>
      <c r="D24" s="36"/>
      <c r="E24" s="36"/>
      <c r="F24" s="37" t="s">
        <v>8</v>
      </c>
      <c r="G24" s="38" t="s">
        <v>52</v>
      </c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9"/>
    </row>
    <row r="25" spans="8:8" ht="24.0" customHeight="1">
      <c r="A25" s="40" t="s">
        <v>53</v>
      </c>
      <c r="B25" s="41" t="s">
        <v>54</v>
      </c>
      <c r="C25" s="42"/>
      <c r="D25" s="42"/>
      <c r="E25" s="42"/>
      <c r="F25" s="43" t="s">
        <v>8</v>
      </c>
      <c r="G25" s="44" t="s">
        <v>55</v>
      </c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5"/>
    </row>
    <row r="26" spans="8:8" ht="18.0" customHeight="1">
      <c r="A26" s="46" t="s">
        <v>56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</row>
  </sheetData>
  <mergeCells count="32">
    <mergeCell ref="B25:E25"/>
    <mergeCell ref="G19:S19"/>
    <mergeCell ref="B16:E16"/>
    <mergeCell ref="G24:S24"/>
    <mergeCell ref="G17:S17"/>
    <mergeCell ref="G21:S21"/>
    <mergeCell ref="A26:T26"/>
    <mergeCell ref="G16:S16"/>
    <mergeCell ref="A2:T2"/>
    <mergeCell ref="G25:S25"/>
    <mergeCell ref="G15:S15"/>
    <mergeCell ref="B19:E19"/>
    <mergeCell ref="B15:E15"/>
    <mergeCell ref="G22:S22"/>
    <mergeCell ref="B23:E23"/>
    <mergeCell ref="A1:T1"/>
    <mergeCell ref="A14:T14"/>
    <mergeCell ref="A5:T5"/>
    <mergeCell ref="M6:O6"/>
    <mergeCell ref="G6:I6"/>
    <mergeCell ref="A12:T12"/>
    <mergeCell ref="J6:L6"/>
    <mergeCell ref="P6:R6"/>
    <mergeCell ref="G23:S23"/>
    <mergeCell ref="B18:E18"/>
    <mergeCell ref="B20:E20"/>
    <mergeCell ref="B21:E21"/>
    <mergeCell ref="B22:E22"/>
    <mergeCell ref="G18:S18"/>
    <mergeCell ref="B17:E17"/>
    <mergeCell ref="G20:S20"/>
    <mergeCell ref="B24:E24"/>
  </mergeCells>
  <pageMargins left="0.75" right="0.75" top="1.0" bottom="1.0" header="0.5" footer="0.5"/>
  <headerFooter>
    <oddFooter>&amp;C_x000D_&amp;1#&amp;"Aptos"&amp;10&amp;K000000 DSV internal</oddFooter>
  </headerFooter>
</worksheet>
</file>

<file path=docProps/app.xml><?xml version="1.0" encoding="utf-8"?>
<Properties xmlns="http://schemas.openxmlformats.org/officeDocument/2006/extended-properties">
  <Application>Kingsoft Office</Application>
  <DocSecurity>0</DocSecurity>
  <ScaleCrop>0</ScaleCrop>
  <LinksUpToDate>0</LinksUpToDate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cp:lastModifiedBy>Office</cp:lastModifiedBy>
  <dcterms:created xsi:type="dcterms:W3CDTF">2026-06-02T06:58:15Z</dcterms:created>
  <dcterms:modified xsi:type="dcterms:W3CDTF">2026-07-04T17:23:06Z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6c1fee-2f04-49ca-98cf-bcf61896c7fa_ContentBits">
    <vt:lpwstr>2</vt:lpwstr>
  </property>
  <property fmtid="{D5CDD505-2E9C-101B-9397-08002B2CF9AE}" pid="3" name="MSIP_Label_fc6c1fee-2f04-49ca-98cf-bcf61896c7fa_Tag">
    <vt:lpwstr>10, 3, 0, 1</vt:lpwstr>
  </property>
  <property fmtid="{D5CDD505-2E9C-101B-9397-08002B2CF9AE}" pid="4" name="MSIP_Label_fc6c1fee-2f04-49ca-98cf-bcf61896c7fa_SiteId">
    <vt:lpwstr>4a90c23a-3ece-4ef2-b857-522f23b8204c</vt:lpwstr>
  </property>
  <property fmtid="{D5CDD505-2E9C-101B-9397-08002B2CF9AE}" pid="5" name="MSIP_Label_fc6c1fee-2f04-49ca-98cf-bcf61896c7fa_ActionId">
    <vt:lpwstr>79faf6d9-b91e-41e4-98ae-e90a4d6833e9</vt:lpwstr>
  </property>
  <property fmtid="{D5CDD505-2E9C-101B-9397-08002B2CF9AE}" pid="6" name="MSIP_Label_fc6c1fee-2f04-49ca-98cf-bcf61896c7fa_SetDate">
    <vt:lpwstr>2026-06-02T13:01:15Z</vt:lpwstr>
  </property>
  <property fmtid="{D5CDD505-2E9C-101B-9397-08002B2CF9AE}" pid="7" name="MSIP_Label_fc6c1fee-2f04-49ca-98cf-bcf61896c7fa_Method">
    <vt:lpwstr>Standard</vt:lpwstr>
  </property>
  <property fmtid="{D5CDD505-2E9C-101B-9397-08002B2CF9AE}" pid="8" name="MSIP_Label_fc6c1fee-2f04-49ca-98cf-bcf61896c7fa_Enabled">
    <vt:lpwstr>true</vt:lpwstr>
  </property>
  <property fmtid="{D5CDD505-2E9C-101B-9397-08002B2CF9AE}" pid="9" name="ICV">
    <vt:lpwstr>640660c9304b444a82ea5cf162951d24</vt:lpwstr>
  </property>
  <property fmtid="{D5CDD505-2E9C-101B-9397-08002B2CF9AE}" pid="10" name="MSIP_Label_fc6c1fee-2f04-49ca-98cf-bcf61896c7fa_Name">
    <vt:lpwstr>Internal</vt:lpwstr>
  </property>
</Properties>
</file>