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RackIT\Wyniki\"/>
    </mc:Choice>
  </mc:AlternateContent>
  <xr:revisionPtr revIDLastSave="0" documentId="13_ncr:1_{0AEF8801-1C0E-4BD2-A226-CAAA63DE15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USH – Klatka · Barki · Trice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11" i="1"/>
  <c r="S10" i="1"/>
  <c r="S9" i="1"/>
  <c r="S8" i="1"/>
</calcChain>
</file>

<file path=xl/sharedStrings.xml><?xml version="1.0" encoding="utf-8"?>
<sst xmlns="http://schemas.openxmlformats.org/spreadsheetml/2006/main" count="101" uniqueCount="75">
  <si>
    <t>PUSH – Klatka · Barki · Triceps</t>
  </si>
  <si>
    <t>Progresja: gdy ostatnia seria (do upadku) przekracza górny pułap zakresu → następny trening dodaj 2,5 kg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</si>
  <si>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</si>
  <si>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</si>
  <si>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</si>
  <si>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</si>
  <si>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</si>
  <si>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</si>
  <si>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</si>
  <si>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</si>
  <si>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</si>
  <si>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</si>
  <si>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</si>
  <si>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</si>
  <si>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</si>
  <si>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</si>
  <si>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</si>
  <si>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</si>
  <si>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</si>
  <si>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</si>
  <si>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</si>
  <si>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</si>
  <si>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</si>
  <si>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</si>
  <si>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piramida – każda seria ciężej</t>
  </si>
  <si>
    <t>Wyciskanie hantlami – skośna +30°</t>
  </si>
  <si>
    <t>8–10</t>
  </si>
  <si>
    <t>2 × 25 kg</t>
  </si>
  <si>
    <t>2x25</t>
  </si>
  <si>
    <t>RIR 2  –  10 powt., 2 w zapasie</t>
  </si>
  <si>
    <t>RIR 1  –  9–10 powt., 1 w zapasie</t>
  </si>
  <si>
    <t>3 s opuszczanie przez całą serię</t>
  </si>
  <si>
    <t>OHP sztangą</t>
  </si>
  <si>
    <t>30 kg</t>
  </si>
  <si>
    <t>RIR 3  –  7–8 powt., 3 w zapasie</t>
  </si>
  <si>
    <t>RIR 2  –  8–9 powt., 2 w zapasie</t>
  </si>
  <si>
    <t>Odwodzenie na wyciągu jednorącz</t>
  </si>
  <si>
    <t>12–15</t>
  </si>
  <si>
    <t>RIR 2  –  12–13 powt., 2 w zapasie</t>
  </si>
  <si>
    <t>RIR 1  –  13–14 powt., 1 w zapasie</t>
  </si>
  <si>
    <t>RIR 0  –  DO UPADKU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</si>
  <si>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</si>
  <si>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</si>
  <si>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</si>
  <si>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</si>
  <si>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</si>
  <si>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</si>
  <si>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bw</t>
  </si>
  <si>
    <t>tułów pionowo, łokcie blisko ciała</t>
  </si>
  <si>
    <t>Kolory RIR: zielony=RIR 3, niebieski=RIR 2, pomarańczowy=RIR 1, czerwony=RIR 0/upadek. Szare pola = seria nie w planie.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</si>
  <si>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</si>
  <si>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</si>
  <si>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</si>
  <si>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</si>
  <si>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</si>
  <si>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</si>
  <si>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</si>
  <si>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</si>
  <si>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</si>
  <si>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</si>
  <si>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</si>
  <si>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</si>
  <si>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</si>
  <si>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</si>
  <si>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</si>
  <si>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</si>
  <si>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</si>
  <si>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</si>
  <si>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</si>
  <si>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</si>
  <si>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</si>
  <si>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</si>
  <si>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RIR 0  –  DO UPADKU min 9</t>
  </si>
  <si>
    <t>RIR 0  –  DO UPADKU min 11</t>
  </si>
  <si>
    <t>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</si>
</sst>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Calibri"/>
    </font>
    <font>
      <b/>
      <sz val="13"/>
      <color rgb="FFFFFFFF"/>
      <name val="Arial"/>
    </font>
    <font>
      <sz val="11"/>
      <name val="Calibri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sz val="11"/>
      <color rgb="FF000000"/>
      <name val="Calibri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sz val="11"/>
      <color rgb="FF000000"/>
      <name val="Calibri"/>
    </font>
    <font>
      <i/>
      <sz val="9"/>
      <color rgb="FFBF360C"/>
      <name val="Arial"/>
    </font>
  </fonts>
  <fills count="1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0" borderId="0" xfId="0" applyFont="1" applyAlignment="1"/>
    <xf numFmtId="0" fontId="7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/>
    <xf numFmtId="0" fontId="21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/>
    <xf numFmtId="0" fontId="26" fillId="13" borderId="0" xfId="0" applyFont="1" applyFill="1" applyAlignment="1">
      <alignment horizontal="left" vertical="center"/>
    </xf>
    <xf numFmtId="0" fontId="2" fillId="0" borderId="0" xfId="0" applyFont="1" applyAlignment="1"/>
    <xf numFmtId="0" fontId="7" fillId="11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4" xfId="0" applyFont="1" applyBorder="1" applyAlignment="1"/>
    <xf numFmtId="0" fontId="6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left" vertical="center"/>
    </xf>
    <xf numFmtId="0" fontId="24" fillId="12" borderId="2" xfId="0" applyFont="1" applyFill="1" applyBorder="1" applyAlignment="1">
      <alignment horizontal="left" vertical="center"/>
    </xf>
    <xf numFmtId="0" fontId="22" fillId="12" borderId="2" xfId="0" applyFont="1" applyFill="1" applyBorder="1" applyAlignment="1">
      <alignment horizontal="left" vertical="center"/>
    </xf>
    <xf numFmtId="0" fontId="22" fillId="8" borderId="2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O14" sqref="O14"/>
    </sheetView>
  </sheetViews>
  <sheetFormatPr defaultColWidth="14" defaultRowHeight="15" customHeight="1" x14ac:dyDescent="0.25"/>
  <cols>
    <col min="1" max="1" width="15.5703125" customWidth="1"/>
    <col min="2" max="2" width="33.85546875" customWidth="1"/>
    <col min="3" max="3" width="5.85546875" customWidth="1"/>
    <col min="4" max="4" width="6.7109375" customWidth="1"/>
    <col min="5" max="5" width="22.140625" customWidth="1"/>
    <col min="6" max="6" width="13.85546875" customWidth="1"/>
    <col min="7" max="7" width="6.140625" customWidth="1"/>
    <col min="8" max="8" width="5.5703125" customWidth="1"/>
    <col min="9" max="9" width="20" customWidth="1"/>
    <col min="10" max="10" width="6.140625" customWidth="1"/>
    <col min="11" max="11" width="5.5703125" customWidth="1"/>
    <col min="12" max="12" width="20" customWidth="1"/>
    <col min="13" max="13" width="6.140625" customWidth="1"/>
    <col min="14" max="14" width="5.5703125" customWidth="1"/>
    <col min="15" max="15" width="20" customWidth="1"/>
    <col min="16" max="16" width="6.140625" customWidth="1"/>
    <col min="17" max="17" width="5.5703125" customWidth="1"/>
    <col min="18" max="18" width="17.85546875" customWidth="1"/>
    <col min="19" max="19" width="19.140625" customWidth="1"/>
    <col min="20" max="20" width="28.140625" customWidth="1"/>
    <col min="21" max="26" width="8.7109375" customWidth="1"/>
  </cols>
  <sheetData>
    <row r="1" spans="1:24" ht="27.75" customHeight="1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4" ht="18" customHeight="1" x14ac:dyDescent="0.25">
      <c r="A2" s="36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4" ht="7.5" customHeight="1" x14ac:dyDescent="0.25"/>
    <row r="4" spans="1:24" ht="7.5" customHeight="1" x14ac:dyDescent="0.25"/>
    <row r="5" spans="1:24" ht="19.5" customHeight="1" x14ac:dyDescent="0.25">
      <c r="A5" s="37" t="s">
        <v>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4" ht="15.75" customHeight="1" x14ac:dyDescent="0.25">
      <c r="A6" s="1"/>
      <c r="B6" s="1"/>
      <c r="C6" s="1"/>
      <c r="D6" s="1"/>
      <c r="E6" s="1"/>
      <c r="F6" s="1"/>
      <c r="G6" s="34" t="s">
        <v>3</v>
      </c>
      <c r="H6" s="32"/>
      <c r="I6" s="33"/>
      <c r="J6" s="34" t="s">
        <v>4</v>
      </c>
      <c r="K6" s="32"/>
      <c r="L6" s="33"/>
      <c r="M6" s="34" t="s">
        <v>5</v>
      </c>
      <c r="N6" s="32"/>
      <c r="O6" s="33"/>
      <c r="P6" s="34" t="s">
        <v>6</v>
      </c>
      <c r="Q6" s="32"/>
      <c r="R6" s="33"/>
      <c r="S6" s="1"/>
      <c r="T6" s="1"/>
    </row>
    <row r="7" spans="1:24" ht="37.5" customHeigh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13</v>
      </c>
      <c r="K7" s="2" t="s">
        <v>14</v>
      </c>
      <c r="L7" s="2" t="s">
        <v>15</v>
      </c>
      <c r="M7" s="2" t="s">
        <v>13</v>
      </c>
      <c r="N7" s="2" t="s">
        <v>14</v>
      </c>
      <c r="O7" s="2" t="s">
        <v>15</v>
      </c>
      <c r="P7" s="2" t="s">
        <v>13</v>
      </c>
      <c r="Q7" s="2" t="s">
        <v>14</v>
      </c>
      <c r="R7" s="2" t="s">
        <v>15</v>
      </c>
      <c r="S7" s="2" t="s">
        <v>16</v>
      </c>
      <c r="T7" s="2" t="s">
        <v>17</v>
      </c>
    </row>
    <row r="8" spans="1:24" ht="36" customHeight="1" x14ac:dyDescent="0.25">
      <c r="A8" s="3">
        <v>1</v>
      </c>
      <c r="B8" s="4" t="s">
        <v>18</v>
      </c>
      <c r="C8" s="5">
        <v>4</v>
      </c>
      <c r="D8" s="5" t="s">
        <v>19</v>
      </c>
      <c r="E8" s="6">
        <v>60</v>
      </c>
      <c r="F8" s="7" t="s">
        <v>20</v>
      </c>
      <c r="G8" s="5">
        <v>62.5</v>
      </c>
      <c r="H8" s="5">
        <v>8</v>
      </c>
      <c r="I8" s="8" t="s">
        <v>21</v>
      </c>
      <c r="J8" s="5">
        <v>67.5</v>
      </c>
      <c r="K8" s="5">
        <v>8</v>
      </c>
      <c r="L8" s="9" t="s">
        <v>22</v>
      </c>
      <c r="M8" s="5">
        <v>72.5</v>
      </c>
      <c r="N8" s="5">
        <v>7</v>
      </c>
      <c r="O8" s="10" t="s">
        <v>23</v>
      </c>
      <c r="P8" s="5">
        <v>77.5</v>
      </c>
      <c r="Q8" s="5">
        <v>7</v>
      </c>
      <c r="R8" s="11" t="s">
        <v>72</v>
      </c>
      <c r="S8" s="5" t="str">
        <f>IF(Q8="","–",IF(ISNUMBER(Q8),IF(Q8&gt;8,"✓ TAK – dodaj 2,5 kg","✗ NIE – zostań z ciężarem"),"–"))</f>
        <v>✗ NIE – zostań z ciężarem</v>
      </c>
      <c r="T8" s="12" t="s">
        <v>24</v>
      </c>
    </row>
    <row r="9" spans="1:24" ht="36" customHeight="1" x14ac:dyDescent="0.25">
      <c r="A9" s="13">
        <v>2</v>
      </c>
      <c r="B9" s="14" t="s">
        <v>25</v>
      </c>
      <c r="C9" s="15">
        <v>3</v>
      </c>
      <c r="D9" s="15" t="s">
        <v>26</v>
      </c>
      <c r="E9" s="16" t="s">
        <v>27</v>
      </c>
      <c r="F9" s="7" t="s">
        <v>20</v>
      </c>
      <c r="G9" s="15" t="s">
        <v>28</v>
      </c>
      <c r="H9" s="15">
        <v>10</v>
      </c>
      <c r="I9" s="9" t="s">
        <v>29</v>
      </c>
      <c r="J9" s="15" t="s">
        <v>28</v>
      </c>
      <c r="K9" s="15">
        <v>10</v>
      </c>
      <c r="L9" s="10" t="s">
        <v>30</v>
      </c>
      <c r="M9" s="15" t="s">
        <v>28</v>
      </c>
      <c r="N9" s="15">
        <v>10</v>
      </c>
      <c r="O9" s="11" t="s">
        <v>73</v>
      </c>
      <c r="P9" s="17"/>
      <c r="Q9" s="17"/>
      <c r="R9" s="17"/>
      <c r="S9" s="15" t="str">
        <f>IF(N9="","–",IF(ISNUMBER(N9),IF(N9&gt;10,"✓ TAK – dodaj 2,5 kg","✗ NIE – zostań z ciężarem"),"–"))</f>
        <v>✗ NIE – zostań z ciężarem</v>
      </c>
      <c r="T9" s="18" t="s">
        <v>31</v>
      </c>
    </row>
    <row r="10" spans="1:24" ht="36" customHeight="1" x14ac:dyDescent="0.25">
      <c r="A10" s="3">
        <v>3</v>
      </c>
      <c r="B10" s="4" t="s">
        <v>32</v>
      </c>
      <c r="C10" s="5">
        <v>4</v>
      </c>
      <c r="D10" s="5" t="s">
        <v>19</v>
      </c>
      <c r="E10" s="6" t="s">
        <v>33</v>
      </c>
      <c r="F10" s="7" t="s">
        <v>20</v>
      </c>
      <c r="G10" s="5">
        <v>30</v>
      </c>
      <c r="H10" s="5">
        <v>8</v>
      </c>
      <c r="I10" s="8" t="s">
        <v>34</v>
      </c>
      <c r="J10" s="5">
        <v>35</v>
      </c>
      <c r="K10" s="5">
        <v>8</v>
      </c>
      <c r="L10" s="9" t="s">
        <v>35</v>
      </c>
      <c r="M10" s="5">
        <v>40</v>
      </c>
      <c r="N10" s="5">
        <v>8</v>
      </c>
      <c r="O10" s="10" t="s">
        <v>30</v>
      </c>
      <c r="P10" s="5">
        <v>45</v>
      </c>
      <c r="Q10" s="5">
        <v>8</v>
      </c>
      <c r="R10" s="11" t="s">
        <v>72</v>
      </c>
      <c r="S10" s="5" t="str">
        <f>IF(Q10="","–",IF(ISNUMBER(Q10),IF(Q10&gt;10,"✓ TAK – dodaj 2,5 kg","✗ NIE – zostań z ciężarem"),"–"))</f>
        <v>✗ NIE – zostań z ciężarem</v>
      </c>
      <c r="T10" s="19"/>
    </row>
    <row r="11" spans="1:24" ht="36" customHeight="1" x14ac:dyDescent="0.25">
      <c r="A11" s="13">
        <v>4</v>
      </c>
      <c r="B11" s="14" t="s">
        <v>36</v>
      </c>
      <c r="C11" s="15">
        <v>3</v>
      </c>
      <c r="D11" s="15" t="s">
        <v>37</v>
      </c>
      <c r="E11" s="16">
        <v>6</v>
      </c>
      <c r="F11" s="7" t="s">
        <v>20</v>
      </c>
      <c r="G11" s="15" t="s">
        <v>74</v>
      </c>
      <c r="H11" s="15">
        <v>12</v>
      </c>
      <c r="I11" s="9" t="s">
        <v>38</v>
      </c>
      <c r="J11" s="15" t="s">
        <v>74</v>
      </c>
      <c r="K11" s="15">
        <v>12</v>
      </c>
      <c r="L11" s="10" t="s">
        <v>39</v>
      </c>
      <c r="M11" s="15" t="s">
        <v>74</v>
      </c>
      <c r="N11" s="15">
        <v>12</v>
      </c>
      <c r="O11" s="11" t="s">
        <v>40</v>
      </c>
      <c r="P11" s="17"/>
      <c r="Q11" s="17"/>
      <c r="R11" s="17"/>
      <c r="S11" s="15" t="str">
        <f>IF(N11="","–",IF(ISNUMBER(N11),IF(N11&gt;15,"✓ TAK – dodaj 2,5 kg","✗ NIE – zostań z ciężarem"),"–"))</f>
        <v>✗ NIE – zostań z ciężarem</v>
      </c>
      <c r="T11" s="18" t="s">
        <v>41</v>
      </c>
    </row>
    <row r="12" spans="1:24" ht="36" customHeight="1" x14ac:dyDescent="0.25">
      <c r="A12" s="3">
        <v>5</v>
      </c>
      <c r="B12" s="4" t="s">
        <v>42</v>
      </c>
      <c r="C12" s="5">
        <v>4</v>
      </c>
      <c r="D12" s="5" t="s">
        <v>43</v>
      </c>
      <c r="E12" s="6" t="s">
        <v>44</v>
      </c>
      <c r="F12" s="7" t="s">
        <v>20</v>
      </c>
      <c r="G12" s="5">
        <v>-9.4</v>
      </c>
      <c r="H12" s="5">
        <v>12</v>
      </c>
      <c r="I12" s="8" t="s">
        <v>45</v>
      </c>
      <c r="J12" s="5">
        <v>-9.4</v>
      </c>
      <c r="K12" s="5">
        <v>11</v>
      </c>
      <c r="L12" s="9" t="s">
        <v>29</v>
      </c>
      <c r="M12" s="5">
        <v>-6.25</v>
      </c>
      <c r="N12" s="5">
        <v>11</v>
      </c>
      <c r="O12" s="10" t="s">
        <v>46</v>
      </c>
      <c r="P12" s="5" t="s">
        <v>47</v>
      </c>
      <c r="Q12" s="5">
        <v>8</v>
      </c>
      <c r="R12" s="11" t="s">
        <v>40</v>
      </c>
      <c r="S12" s="5" t="str">
        <f>IF(Q12="","–",IF(ISNUMBER(Q12),IF(Q12&gt;12,"✓ TAK – dodaj 2,5 kg","✗ NIE – zostań z ciężarem"),"–"))</f>
        <v>✗ NIE – zostań z ciężarem</v>
      </c>
      <c r="T12" s="12" t="s">
        <v>48</v>
      </c>
      <c r="X12" s="20">
        <v>34</v>
      </c>
    </row>
    <row r="13" spans="1:24" ht="15.75" customHeight="1" x14ac:dyDescent="0.25">
      <c r="A13" s="38" t="s">
        <v>49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5" spans="1:24" ht="21.75" customHeight="1" x14ac:dyDescent="0.25">
      <c r="A15" s="43" t="s">
        <v>50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4" ht="27.75" customHeight="1" x14ac:dyDescent="0.25">
      <c r="A16" s="21" t="s">
        <v>51</v>
      </c>
      <c r="B16" s="31" t="s">
        <v>52</v>
      </c>
      <c r="C16" s="32"/>
      <c r="D16" s="32"/>
      <c r="E16" s="33"/>
      <c r="F16" s="21" t="s">
        <v>53</v>
      </c>
      <c r="G16" s="31" t="s">
        <v>54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3"/>
      <c r="T16" s="22"/>
    </row>
    <row r="17" spans="1:20" ht="24" customHeight="1" x14ac:dyDescent="0.25">
      <c r="A17" s="23" t="s">
        <v>55</v>
      </c>
      <c r="B17" s="40" t="s">
        <v>56</v>
      </c>
      <c r="C17" s="32"/>
      <c r="D17" s="32"/>
      <c r="E17" s="33"/>
      <c r="F17" s="24" t="s">
        <v>57</v>
      </c>
      <c r="G17" s="39" t="s">
        <v>58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3"/>
      <c r="T17" s="25"/>
    </row>
    <row r="18" spans="1:20" ht="24" customHeight="1" x14ac:dyDescent="0.25">
      <c r="A18" s="26" t="s">
        <v>55</v>
      </c>
      <c r="B18" s="41" t="s">
        <v>59</v>
      </c>
      <c r="C18" s="32"/>
      <c r="D18" s="32"/>
      <c r="E18" s="33"/>
      <c r="F18" s="27" t="s">
        <v>60</v>
      </c>
      <c r="G18" s="42" t="s">
        <v>61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3"/>
      <c r="T18" s="28"/>
    </row>
    <row r="19" spans="1:20" ht="24" customHeight="1" x14ac:dyDescent="0.25">
      <c r="A19" s="23" t="s">
        <v>62</v>
      </c>
      <c r="B19" s="40" t="s">
        <v>63</v>
      </c>
      <c r="C19" s="32"/>
      <c r="D19" s="32"/>
      <c r="E19" s="33"/>
      <c r="F19" s="24" t="s">
        <v>64</v>
      </c>
      <c r="G19" s="39" t="s">
        <v>65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  <c r="T19" s="25"/>
    </row>
    <row r="20" spans="1:20" ht="24" customHeight="1" x14ac:dyDescent="0.25">
      <c r="A20" s="26" t="s">
        <v>62</v>
      </c>
      <c r="B20" s="41" t="s">
        <v>66</v>
      </c>
      <c r="C20" s="32"/>
      <c r="D20" s="32"/>
      <c r="E20" s="33"/>
      <c r="F20" s="27" t="s">
        <v>64</v>
      </c>
      <c r="G20" s="42" t="s">
        <v>67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3"/>
      <c r="T20" s="28"/>
    </row>
    <row r="21" spans="1:20" ht="24" customHeight="1" x14ac:dyDescent="0.25">
      <c r="A21" s="23" t="s">
        <v>68</v>
      </c>
      <c r="B21" s="40" t="s">
        <v>69</v>
      </c>
      <c r="C21" s="32"/>
      <c r="D21" s="32"/>
      <c r="E21" s="33"/>
      <c r="F21" s="24" t="s">
        <v>64</v>
      </c>
      <c r="G21" s="39" t="s">
        <v>70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3"/>
      <c r="T21" s="25"/>
    </row>
    <row r="22" spans="1:20" ht="18" customHeight="1" x14ac:dyDescent="0.25">
      <c r="A22" s="29" t="s">
        <v>71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15:T15"/>
    <mergeCell ref="A1:T1"/>
    <mergeCell ref="A2:T2"/>
    <mergeCell ref="A5:T5"/>
    <mergeCell ref="P6:R6"/>
    <mergeCell ref="A13:T13"/>
    <mergeCell ref="A22:T22"/>
    <mergeCell ref="G16:S16"/>
    <mergeCell ref="M6:O6"/>
    <mergeCell ref="J6:L6"/>
    <mergeCell ref="G6:I6"/>
    <mergeCell ref="G21:S21"/>
    <mergeCell ref="B16:E16"/>
    <mergeCell ref="G19:S19"/>
    <mergeCell ref="B21:E21"/>
    <mergeCell ref="B20:E20"/>
    <mergeCell ref="G20:S20"/>
    <mergeCell ref="B17:E17"/>
    <mergeCell ref="B18:E18"/>
    <mergeCell ref="G18:S18"/>
    <mergeCell ref="G17:S17"/>
    <mergeCell ref="B19:E19"/>
  </mergeCells>
  <pageMargins left="0.75" right="0.75" top="1" bottom="1" header="0" footer="0"/>
  <pageSetup paperSize="9" fitToWidth="0" fitToHeight="0" orientation="landscape"/>
  <headerFooter>
    <oddFooter>&amp;C_x000D_#000000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 – Klatka · Barki · Triceps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2026-06-02T06:58:15Z</dcterms:created>
  <dcterms:modified xsi:type="dcterms:W3CDTF">2026-06-23T17:12:45Z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a702067b8ba142e0b4d8512232253d48</vt:lpwstr>
  </property>
  <property fmtid="{D5CDD505-2E9C-101B-9397-08002B2CF9AE}" pid="11" name="MSIP_Label_fc6c1fee-2f04-49ca-98cf-bcf61896c7fa_Name">
    <vt:lpwstr>Internal</vt:lpwstr>
  </property>
</Properties>
</file>