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026"/>
  <workbookPr defaultThemeVersion="153222"/>
  <bookViews>
    <workbookView xWindow="28680" yWindow="-120" windowWidth="29040" windowHeight="15840" activeTab="1"/>
  </bookViews>
  <sheets>
    <sheet name="PUSH – Klatka · Barki · Triceps" sheetId="1" r:id="rId1"/>
    <sheet name="PULL – Plecy · Biceps" sheetId="2" r:id="rId2"/>
    <sheet name="NOGI – Uda · Pośladki" sheetId="3" r:id="rId3"/>
  </sheets>
  <calcPr calcId="191029"/>
</workbook>
</file>

<file path=xl/sharedStrings.xml><?xml version="1.0" encoding="utf-8"?>
<sst xmlns="http://schemas.openxmlformats.org/spreadsheetml/2006/main" uniqueCount="160" count="160">
  <si>
    <t>PUSH – Klatka · Barki · Triceps</t>
  </si>
  <si>
    <t>Progresja: gdy ostatnia seria (do upadku) przekracza górny pułap zakresu → następny trening dodaj 2,5 kg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</si>
  <si>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</si>
  <si>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</si>
  <si>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</si>
  <si>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</si>
  <si>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</si>
  <si>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</si>
  <si>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</si>
  <si>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</si>
  <si>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</si>
  <si>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</si>
  <si>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</si>
  <si>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</si>
  <si>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</si>
  <si>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</si>
  <si>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</si>
  <si>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</si>
  <si>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</si>
  <si>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</si>
  <si>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</si>
  <si>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</si>
  <si>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</si>
  <si>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</si>
  <si>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</si>
  <si>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</si>
  <si>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</si>
  <si>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</si>
  <si>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</si>
  <si>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</si>
  <si>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</si>
  <si>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</si>
  <si>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</si>
  <si>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</si>
  <si>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</si>
  <si>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</si>
  <si>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</si>
  <si>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</si>
  <si>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</si>
  <si>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</si>
  <si>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</si>
  <si>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</si>
  <si>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</si>
  <si>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</si>
  <si>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</si>
  <si>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</si>
  <si>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RIR 0  –  DO UPADKU</t>
  </si>
  <si>
    <t>piramida – każda seria ciężej</t>
  </si>
  <si>
    <t>Wyciskanie hantlami – skośna +30°</t>
  </si>
  <si>
    <t>8–10</t>
  </si>
  <si>
    <t>2 × 24 kg</t>
  </si>
  <si>
    <t>RIR 2  –  10 powt., 2 w zapasie</t>
  </si>
  <si>
    <t>RIR 1  –  9–10 powt., 1 w zapasie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</si>
  <si>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</si>
  <si>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</si>
  <si>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</si>
  <si>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</si>
  <si>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</si>
  <si>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</si>
  <si>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Odwodzenie na wyciągu jednorącz</t>
  </si>
  <si>
    <t>12–15</t>
  </si>
  <si>
    <t>8–10 kg</t>
  </si>
  <si>
    <t>RIR 2  –  12–13 powt., 2 w zapasie</t>
  </si>
  <si>
    <t>RIR 1  –  13–14 powt., 1 w zapasie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</si>
  <si>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</si>
  <si>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</si>
  <si>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</si>
  <si>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</si>
  <si>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</si>
  <si>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</si>
  <si>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tułów pionowo, łokcie blisko ciała</t>
  </si>
  <si>
    <t>Kolory RIR: zielony=RIR 3, niebieski=RIR 2, pomarańczowy=RIR 1, czerwony=RIR 0/upadek. Szare pola = seria nie w planie.</t>
  </si>
  <si>
    <t>PULL – Plecy · Biceps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</si>
  <si>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</si>
  <si>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</si>
  <si>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</si>
  <si>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</si>
  <si>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</si>
  <si>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</si>
  <si>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</si>
  <si>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</si>
  <si>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</si>
  <si>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</si>
  <si>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</si>
  <si>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</si>
  <si>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</si>
  <si>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</si>
  <si>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</si>
  <si>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</si>
  <si>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</si>
  <si>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</si>
  <si>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</si>
  <si>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</si>
  <si>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</si>
  <si>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</si>
  <si>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</si>
  <si>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</si>
  <si>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</si>
  <si>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</si>
  <si>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</si>
  <si>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</si>
  <si>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</si>
  <si>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</si>
  <si>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</si>
  <si>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</si>
  <si>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</si>
  <si>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</si>
  <si>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</si>
  <si>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nachwyt / podchwyt naprzemiennie co sesję</t>
  </si>
  <si>
    <t>Uginanie hantlami stojąc</t>
  </si>
  <si>
    <t>10–12</t>
  </si>
  <si>
    <t>supinacja w górze, biceps zmęczony drążkiem</t>
  </si>
  <si>
    <t>NOGI – Uda · Pośladki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</si>
  <si>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</si>
  <si>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</si>
  <si>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</si>
  <si>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</si>
  <si>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</si>
  <si>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</si>
  <si>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</si>
  <si>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</si>
  <si>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</si>
  <si>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</si>
  <si>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</si>
  <si>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</si>
  <si>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</si>
  <si>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</si>
  <si>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</si>
  <si>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</si>
  <si>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</si>
  <si>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</si>
  <si>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</si>
  <si>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</si>
  <si>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</si>
  <si>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</si>
  <si>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</si>
  <si>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</si>
  <si>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</si>
  <si>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</si>
  <si>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</si>
  <si>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</si>
  <si>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</si>
  <si>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</si>
  <si>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</si>
  <si>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</si>
  <si>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</si>
  <si>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</si>
  <si>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</si>
  <si>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</si>
  <si>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</si>
  <si>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</si>
  <si>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</si>
  <si>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</si>
  <si>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</si>
  <si>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Wiosłowanie sztangą</t>
  </si>
  <si>
    <t xml:space="preserve"> 8-10</t>
  </si>
  <si>
    <t>2 x 10</t>
  </si>
  <si>
    <t>2 x 12,5</t>
  </si>
  <si>
    <t>RIR 1  –  9-10 powt., 1 w zapasie</t>
  </si>
  <si>
    <t>RIR 2  –  8-9 powt., 2 w zapasie</t>
  </si>
</sst>
</file>

<file path=xl/styles.xml><?xml version="1.0" encoding="utf-8"?>
<styleSheet xmlns="http://schemas.openxmlformats.org/spreadsheetml/2006/main">
  <numFmts count="1">
    <numFmt numFmtId="0" formatCode="General"/>
  </numFmts>
  <fonts count="32">
    <font>
      <name val="Calibri"/>
      <sz val="11"/>
    </font>
    <font>
      <name val="Arial"/>
      <b/>
      <sz val="13"/>
      <color rgb="FFFFFFFF"/>
    </font>
    <font>
      <name val="Calibri"/>
      <sz val="11"/>
      <color rgb="FF000000"/>
    </font>
    <font>
      <name val="Arial"/>
      <i/>
      <sz val="9"/>
      <color rgb="FF1565C0"/>
    </font>
    <font>
      <name val="Arial"/>
      <b/>
      <sz val="11"/>
      <color rgb="FFFFFFFF"/>
    </font>
    <font>
      <name val="Arial"/>
      <sz val="10"/>
      <color rgb="FFFFFFFF"/>
    </font>
    <font>
      <name val="Arial"/>
      <b/>
      <sz val="10"/>
      <color rgb="FFFFFFFF"/>
    </font>
    <font>
      <name val="Arial"/>
      <b/>
      <sz val="9"/>
      <color rgb="FFFFFFFF"/>
    </font>
    <font>
      <name val="Arial"/>
      <b/>
      <sz val="10"/>
      <color rgb="FF1565C0"/>
    </font>
    <font>
      <name val="Arial"/>
      <b/>
      <sz val="10"/>
      <color rgb="FF000000"/>
    </font>
    <font>
      <name val="Arial"/>
      <sz val="10"/>
      <color rgb="FF000000"/>
    </font>
    <font>
      <name val="Arial"/>
      <charset val="238"/>
      <sz val="9"/>
      <color rgb="FF000000"/>
    </font>
    <font>
      <name val="Arial"/>
      <sz val="9"/>
      <color rgb="FF1B5E20"/>
    </font>
    <font>
      <name val="Arial"/>
      <sz val="9"/>
      <color rgb="FF1565C0"/>
    </font>
    <font>
      <name val="Arial"/>
      <sz val="9"/>
      <color rgb="FFE65100"/>
    </font>
    <font>
      <name val="Arial"/>
      <b/>
      <sz val="9"/>
      <color rgb="FFC62828"/>
    </font>
    <font>
      <name val="Arial"/>
      <i/>
      <sz val="9"/>
      <color rgb="FF555555"/>
    </font>
    <font>
      <name val="Arial"/>
      <sz val="10"/>
      <color rgb="FFCCCCCC"/>
    </font>
    <font>
      <name val="Arial"/>
      <sz val="9"/>
      <color rgb="FF555555"/>
    </font>
    <font>
      <name val="Arial"/>
      <i/>
      <sz val="8"/>
      <color rgb="FF888888"/>
    </font>
    <font>
      <name val="Arial"/>
      <sz val="8"/>
      <color rgb="FF000000"/>
    </font>
    <font>
      <name val="Arial"/>
      <b/>
      <sz val="9"/>
      <color rgb="FF000000"/>
    </font>
    <font>
      <name val="Arial"/>
      <b/>
      <sz val="9"/>
      <color rgb="FF1A237E"/>
    </font>
    <font>
      <name val="Arial"/>
      <i/>
      <sz val="9"/>
      <color rgb="FF444444"/>
    </font>
    <font>
      <name val="Arial"/>
      <i/>
      <sz val="9"/>
      <color rgb="FFBF360C"/>
    </font>
    <font>
      <name val="Arial"/>
      <i/>
      <sz val="9"/>
      <color rgb="FF1B5E20"/>
    </font>
    <font>
      <name val="Arial"/>
      <b/>
      <sz val="10"/>
      <color rgb="FF1B5E20"/>
    </font>
    <font>
      <name val="Arial"/>
      <sz val="9"/>
      <color rgb="FFBF360C"/>
    </font>
    <font>
      <name val="Arial"/>
      <b/>
      <sz val="9"/>
      <color rgb="FF1B4020"/>
    </font>
    <font>
      <name val="Arial"/>
      <i/>
      <sz val="9"/>
      <color rgb="FFE65100"/>
    </font>
    <font>
      <name val="Arial"/>
      <b/>
      <sz val="10"/>
      <color rgb="FFE65100"/>
    </font>
    <font>
      <name val="Arial"/>
      <b/>
      <sz val="9"/>
      <color rgb="FFBF360C"/>
    </font>
  </fonts>
  <fills count="2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E3F2FD"/>
        <bgColor indexed="64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8F5E9"/>
        <bgColor indexed="64"/>
      </patternFill>
    </fill>
    <fill>
      <patternFill patternType="solid">
        <fgColor rgb="FF1B4020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FFF3E0"/>
        <bgColor indexed="64"/>
      </patternFill>
    </fill>
    <fill>
      <patternFill patternType="solid">
        <fgColor rgb="FFBF360C"/>
      </patternFill>
    </fill>
    <fill>
      <patternFill patternType="solid">
        <fgColor rgb="FFFBE9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bottom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bottom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vertical="bottom"/>
    </xf>
    <xf numFmtId="0" fontId="22" fillId="14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vertical="bottom"/>
    </xf>
    <xf numFmtId="0" fontId="20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bottom"/>
    </xf>
    <xf numFmtId="0" fontId="22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bottom"/>
    </xf>
    <xf numFmtId="0" fontId="24" fillId="15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vertical="bottom"/>
    </xf>
    <xf numFmtId="0" fontId="7" fillId="1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4" fillId="19" borderId="0" xfId="0" applyFont="1" applyFill="1" applyAlignment="1">
      <alignment horizontal="left" vertical="center"/>
    </xf>
    <xf numFmtId="0" fontId="7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vertical="bottom"/>
    </xf>
    <xf numFmtId="0" fontId="28" fillId="20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vertical="bottom"/>
    </xf>
    <xf numFmtId="0" fontId="28" fillId="9" borderId="1" xfId="0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29" fillId="22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vertical="bottom"/>
    </xf>
    <xf numFmtId="0" fontId="7" fillId="21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4" fillId="24" borderId="0" xfId="0" applyFont="1" applyFill="1" applyAlignment="1">
      <alignment horizontal="left" vertical="center"/>
    </xf>
    <xf numFmtId="0" fontId="7" fillId="2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vertical="bottom"/>
    </xf>
    <xf numFmtId="0" fontId="31" fillId="25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vertical="bottom"/>
    </xf>
    <xf numFmtId="0" fontId="31" fillId="9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2"/>
  <sheetViews>
    <sheetView workbookViewId="0">
      <selection activeCell="E12" sqref="E12"/>
    </sheetView>
  </sheetViews>
  <sheetFormatPr defaultRowHeight="15.0" defaultColWidth="10"/>
  <cols>
    <col min="1" max="1" customWidth="1" bestFit="1" width="15.5703125" style="0"/>
    <col min="2" max="2" customWidth="1" bestFit="1" width="33.85547" style="0"/>
    <col min="3" max="3" customWidth="1" bestFit="1" width="5.8554688" style="0"/>
    <col min="4" max="4" customWidth="1" bestFit="1" width="6.7109375" style="0"/>
    <col min="5" max="5" customWidth="1" bestFit="1" width="22.140625" style="0"/>
    <col min="6" max="6" customWidth="1" bestFit="1" width="13.855469" style="0"/>
    <col min="7" max="7" customWidth="1" bestFit="1" width="6.140625" style="0"/>
    <col min="8" max="8" customWidth="1" bestFit="1" width="5.5703125" style="0"/>
    <col min="9" max="9" customWidth="1" width="20.0" style="0"/>
    <col min="10" max="10" customWidth="1" bestFit="1" width="6.140625" style="0"/>
    <col min="11" max="11" customWidth="1" bestFit="1" width="5.5703125" style="0"/>
    <col min="12" max="12" customWidth="1" width="20.0" style="0"/>
    <col min="13" max="13" customWidth="1" bestFit="1" width="6.140625" style="0"/>
    <col min="14" max="14" customWidth="1" bestFit="1" width="5.5703125" style="0"/>
    <col min="15" max="15" customWidth="1" width="20.0" style="0"/>
    <col min="16" max="16" customWidth="1" bestFit="1" width="6.140625" style="0"/>
    <col min="17" max="17" customWidth="1" bestFit="1" width="5.5703125" style="0"/>
    <col min="18" max="18" customWidth="1" bestFit="1" width="17.855469" style="0"/>
    <col min="19" max="19" customWidth="1" bestFit="1" width="15.7109375" style="0"/>
    <col min="20" max="20" customWidth="1" bestFit="1" width="28.140625" style="0"/>
  </cols>
  <sheetData>
    <row r="1" spans="8:8" ht="27.9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8:8" ht="18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8:8" ht="8.1" customHeight="1"/>
    <row r="4" spans="8:8" ht="8.1" customHeight="1"/>
    <row r="5" spans="8:8" ht="20.1" customHeight="1">
      <c r="A5" s="4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8:8" ht="15.95" customHeight="1">
      <c r="A6" s="5"/>
      <c r="B6" s="5"/>
      <c r="C6" s="5"/>
      <c r="D6" s="5"/>
      <c r="E6" s="5"/>
      <c r="F6" s="5"/>
      <c r="G6" s="6" t="s">
        <v>25</v>
      </c>
      <c r="H6" s="7"/>
      <c r="I6" s="7"/>
      <c r="J6" s="6" t="s">
        <v>26</v>
      </c>
      <c r="K6" s="7"/>
      <c r="L6" s="7"/>
      <c r="M6" s="6" t="s">
        <v>27</v>
      </c>
      <c r="N6" s="7"/>
      <c r="O6" s="7"/>
      <c r="P6" s="6" t="s">
        <v>28</v>
      </c>
      <c r="Q6" s="7"/>
      <c r="R6" s="7"/>
      <c r="S6" s="5"/>
      <c r="T6" s="5"/>
    </row>
    <row r="7" spans="8:8" ht="38.1" customHeight="1">
      <c r="A7" s="8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34</v>
      </c>
      <c r="G7" s="8" t="s">
        <v>35</v>
      </c>
      <c r="H7" s="8" t="s">
        <v>36</v>
      </c>
      <c r="I7" s="8" t="s">
        <v>37</v>
      </c>
      <c r="J7" s="8" t="s">
        <v>35</v>
      </c>
      <c r="K7" s="8" t="s">
        <v>36</v>
      </c>
      <c r="L7" s="8" t="s">
        <v>37</v>
      </c>
      <c r="M7" s="8" t="s">
        <v>35</v>
      </c>
      <c r="N7" s="8" t="s">
        <v>36</v>
      </c>
      <c r="O7" s="8" t="s">
        <v>37</v>
      </c>
      <c r="P7" s="8" t="s">
        <v>35</v>
      </c>
      <c r="Q7" s="8" t="s">
        <v>36</v>
      </c>
      <c r="R7" s="8" t="s">
        <v>37</v>
      </c>
      <c r="S7" s="8" t="s">
        <v>38</v>
      </c>
      <c r="T7" s="8" t="s">
        <v>39</v>
      </c>
    </row>
    <row r="8" spans="8:8" ht="36.0" customHeight="1">
      <c r="A8" s="9">
        <v>1.0</v>
      </c>
      <c r="B8" s="10" t="s">
        <v>40</v>
      </c>
      <c r="C8" s="11">
        <v>4.0</v>
      </c>
      <c r="D8" s="11" t="s">
        <v>41</v>
      </c>
      <c r="E8" s="12">
        <v>60.0</v>
      </c>
      <c r="F8" s="13" t="s">
        <v>42</v>
      </c>
      <c r="G8" s="11"/>
      <c r="H8" s="11"/>
      <c r="I8" s="14" t="s">
        <v>43</v>
      </c>
      <c r="J8" s="11"/>
      <c r="K8" s="11"/>
      <c r="L8" s="15" t="s">
        <v>44</v>
      </c>
      <c r="M8" s="11"/>
      <c r="N8" s="11"/>
      <c r="O8" s="16" t="s">
        <v>45</v>
      </c>
      <c r="P8" s="11"/>
      <c r="Q8" s="11"/>
      <c r="R8" s="17" t="s">
        <v>46</v>
      </c>
      <c r="S8" s="11" t="str">
        <f>IF(Q8="","–",IF(ISNUMBER(Q8),IF(Q8&gt;8,"✓ TAK – dodaj 2,5 kg","✗ NIE – zostań z ciężarem"),"–"))</f>
        <v>–</v>
      </c>
      <c r="T8" s="18" t="s">
        <v>47</v>
      </c>
    </row>
    <row r="9" spans="8:8" ht="36.0" customHeight="1">
      <c r="A9" s="19">
        <v>2.0</v>
      </c>
      <c r="B9" s="20" t="s">
        <v>48</v>
      </c>
      <c r="C9" s="21">
        <v>3.0</v>
      </c>
      <c r="D9" s="21" t="s">
        <v>49</v>
      </c>
      <c r="E9" s="22" t="s">
        <v>50</v>
      </c>
      <c r="F9" s="13" t="s">
        <v>42</v>
      </c>
      <c r="G9" s="21"/>
      <c r="H9" s="21"/>
      <c r="I9" s="15" t="s">
        <v>51</v>
      </c>
      <c r="J9" s="21"/>
      <c r="K9" s="21"/>
      <c r="L9" s="16" t="s">
        <v>52</v>
      </c>
      <c r="M9" s="21"/>
      <c r="N9" s="21"/>
      <c r="O9" s="17" t="s">
        <v>46</v>
      </c>
      <c r="P9" s="23"/>
      <c r="Q9" s="23"/>
      <c r="R9" s="23"/>
      <c r="S9" s="21" t="str">
        <f>IF(N9="","–",IF(ISNUMBER(N9),IF(N9&gt;10,"✓ TAK – dodaj 2,5 kg","✗ NIE – zostań z ciężarem"),"–"))</f>
        <v>–</v>
      </c>
      <c r="T9" s="24" t="s">
        <v>53</v>
      </c>
    </row>
    <row r="10" spans="8:8" ht="36.0" customHeight="1">
      <c r="A10" s="9">
        <v>3.0</v>
      </c>
      <c r="B10" s="10" t="s">
        <v>54</v>
      </c>
      <c r="C10" s="11">
        <v>4.0</v>
      </c>
      <c r="D10" s="11" t="s">
        <v>55</v>
      </c>
      <c r="E10" s="12" t="s">
        <v>56</v>
      </c>
      <c r="F10" s="13" t="s">
        <v>42</v>
      </c>
      <c r="G10" s="11"/>
      <c r="H10" s="11"/>
      <c r="I10" s="14" t="s">
        <v>57</v>
      </c>
      <c r="J10" s="11"/>
      <c r="K10" s="11"/>
      <c r="L10" s="15" t="s">
        <v>58</v>
      </c>
      <c r="M10" s="11"/>
      <c r="N10" s="11"/>
      <c r="O10" s="16" t="s">
        <v>52</v>
      </c>
      <c r="P10" s="11"/>
      <c r="Q10" s="11"/>
      <c r="R10" s="17" t="s">
        <v>46</v>
      </c>
      <c r="S10" s="11" t="str">
        <f>IF(Q10="","–",IF(ISNUMBER(Q10),IF(Q10&gt;10,"✓ TAK – dodaj 2,5 kg","✗ NIE – zostań z ciężarem"),"–"))</f>
        <v>–</v>
      </c>
      <c r="T10" s="25"/>
    </row>
    <row r="11" spans="8:8" ht="36.0" customHeight="1">
      <c r="A11" s="19">
        <v>4.0</v>
      </c>
      <c r="B11" s="20" t="s">
        <v>59</v>
      </c>
      <c r="C11" s="21">
        <v>3.0</v>
      </c>
      <c r="D11" s="21" t="s">
        <v>60</v>
      </c>
      <c r="E11" s="22" t="s">
        <v>61</v>
      </c>
      <c r="F11" s="13" t="s">
        <v>42</v>
      </c>
      <c r="G11" s="21"/>
      <c r="H11" s="21"/>
      <c r="I11" s="15" t="s">
        <v>62</v>
      </c>
      <c r="J11" s="21"/>
      <c r="K11" s="21"/>
      <c r="L11" s="16" t="s">
        <v>63</v>
      </c>
      <c r="M11" s="21"/>
      <c r="N11" s="21"/>
      <c r="O11" s="17" t="s">
        <v>46</v>
      </c>
      <c r="P11" s="23"/>
      <c r="Q11" s="23"/>
      <c r="R11" s="23"/>
      <c r="S11" s="21" t="str">
        <f>IF(N11="","–",IF(ISNUMBER(N11),IF(N11&gt;15,"✓ TAK – dodaj 2,5 kg","✗ NIE – zostań z ciężarem"),"–"))</f>
        <v>–</v>
      </c>
      <c r="T11" s="24" t="s">
        <v>64</v>
      </c>
    </row>
    <row r="12" spans="8:8" ht="36.0" customHeight="1">
      <c r="A12" s="9">
        <v>5.0</v>
      </c>
      <c r="B12" s="10" t="s">
        <v>65</v>
      </c>
      <c r="C12" s="11">
        <v>4.0</v>
      </c>
      <c r="D12" s="11" t="s">
        <v>66</v>
      </c>
      <c r="E12" s="12" t="s">
        <v>67</v>
      </c>
      <c r="F12" s="13" t="s">
        <v>42</v>
      </c>
      <c r="G12" s="11"/>
      <c r="H12" s="11"/>
      <c r="I12" s="14" t="s">
        <v>68</v>
      </c>
      <c r="J12" s="11"/>
      <c r="K12" s="11"/>
      <c r="L12" s="15" t="s">
        <v>51</v>
      </c>
      <c r="M12" s="11"/>
      <c r="N12" s="11"/>
      <c r="O12" s="16" t="s">
        <v>69</v>
      </c>
      <c r="P12" s="11"/>
      <c r="Q12" s="11"/>
      <c r="R12" s="17" t="s">
        <v>46</v>
      </c>
      <c r="S12" s="11" t="str">
        <f>IF(Q12="","–",IF(ISNUMBER(Q12),IF(Q12&gt;12,"✓ TAK – dodaj 2,5 kg","✗ NIE – zostań z ciężarem"),"–"))</f>
        <v>–</v>
      </c>
      <c r="T12" s="18" t="s">
        <v>70</v>
      </c>
    </row>
    <row r="13" spans="8:8" ht="15.95" customHeight="1">
      <c r="A13" s="26" t="s">
        <v>71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5" spans="8:8" ht="21.95" customHeight="1">
      <c r="A15" s="27" t="s">
        <v>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8:8" ht="27.95" customHeight="1">
      <c r="A16" s="28" t="s">
        <v>3</v>
      </c>
      <c r="B16" s="29" t="s">
        <v>4</v>
      </c>
      <c r="C16" s="30"/>
      <c r="D16" s="30"/>
      <c r="E16" s="30"/>
      <c r="F16" s="28" t="s">
        <v>5</v>
      </c>
      <c r="G16" s="29" t="s">
        <v>6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1"/>
    </row>
    <row r="17" spans="8:8" ht="24.0" customHeight="1">
      <c r="A17" s="32" t="s">
        <v>7</v>
      </c>
      <c r="B17" s="33" t="s">
        <v>8</v>
      </c>
      <c r="C17" s="34"/>
      <c r="D17" s="34"/>
      <c r="E17" s="34"/>
      <c r="F17" s="35" t="s">
        <v>9</v>
      </c>
      <c r="G17" s="36" t="s">
        <v>10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7"/>
    </row>
    <row r="18" spans="8:8" ht="24.0" customHeight="1">
      <c r="A18" s="38" t="s">
        <v>7</v>
      </c>
      <c r="B18" s="39" t="s">
        <v>11</v>
      </c>
      <c r="C18" s="40"/>
      <c r="D18" s="40"/>
      <c r="E18" s="40"/>
      <c r="F18" s="41" t="s">
        <v>12</v>
      </c>
      <c r="G18" s="42" t="s">
        <v>13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3"/>
    </row>
    <row r="19" spans="8:8" ht="24.0" customHeight="1">
      <c r="A19" s="32" t="s">
        <v>14</v>
      </c>
      <c r="B19" s="33" t="s">
        <v>15</v>
      </c>
      <c r="C19" s="34"/>
      <c r="D19" s="34"/>
      <c r="E19" s="34"/>
      <c r="F19" s="35" t="s">
        <v>16</v>
      </c>
      <c r="G19" s="36" t="s">
        <v>17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7"/>
    </row>
    <row r="20" spans="8:8" ht="24.0" customHeight="1">
      <c r="A20" s="38" t="s">
        <v>14</v>
      </c>
      <c r="B20" s="39" t="s">
        <v>18</v>
      </c>
      <c r="C20" s="40"/>
      <c r="D20" s="40"/>
      <c r="E20" s="40"/>
      <c r="F20" s="41" t="s">
        <v>16</v>
      </c>
      <c r="G20" s="42" t="s">
        <v>19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3"/>
    </row>
    <row r="21" spans="8:8" ht="24.0" customHeight="1">
      <c r="A21" s="32" t="s">
        <v>20</v>
      </c>
      <c r="B21" s="33" t="s">
        <v>21</v>
      </c>
      <c r="C21" s="34"/>
      <c r="D21" s="34"/>
      <c r="E21" s="34"/>
      <c r="F21" s="35" t="s">
        <v>16</v>
      </c>
      <c r="G21" s="36" t="s">
        <v>22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7"/>
    </row>
    <row r="22" spans="8:8" ht="18.0" customHeight="1">
      <c r="A22" s="44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</sheetData>
  <mergeCells count="22">
    <mergeCell ref="A13:T13"/>
    <mergeCell ref="B19:E19"/>
    <mergeCell ref="A1:T1"/>
    <mergeCell ref="G6:I6"/>
    <mergeCell ref="M6:O6"/>
    <mergeCell ref="P6:R6"/>
    <mergeCell ref="A2:T2"/>
    <mergeCell ref="A5:T5"/>
    <mergeCell ref="J6:L6"/>
    <mergeCell ref="A22:T22"/>
    <mergeCell ref="A15:T15"/>
    <mergeCell ref="G21:S21"/>
    <mergeCell ref="B20:E20"/>
    <mergeCell ref="G17:S17"/>
    <mergeCell ref="B16:E16"/>
    <mergeCell ref="G19:S19"/>
    <mergeCell ref="B21:E21"/>
    <mergeCell ref="G16:S16"/>
    <mergeCell ref="G20:S20"/>
    <mergeCell ref="B18:E18"/>
    <mergeCell ref="G18:S18"/>
    <mergeCell ref="B17:E17"/>
  </mergeCells>
  <pageMargins left="0.75" right="0.75" top="1.0" bottom="1.0" header="0.5" footer="0.5"/>
  <headerFooter>
    <oddFooter>&amp;C_x000D_&amp;1#&amp;"Aptos"&amp;10&amp;K000000 DSV internal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U26"/>
  <sheetViews>
    <sheetView tabSelected="1" workbookViewId="0" topLeftCell="L5">
      <selection activeCell="N11" sqref="N11"/>
    </sheetView>
  </sheetViews>
  <sheetFormatPr defaultRowHeight="15.0" defaultColWidth="10"/>
  <cols>
    <col min="1" max="1" customWidth="1" bestFit="1" width="13.140625" style="0"/>
    <col min="2" max="2" customWidth="1" bestFit="1" width="24.0" style="0"/>
    <col min="3" max="3" customWidth="1" bestFit="1" width="5.8554688" style="0"/>
    <col min="4" max="4" customWidth="1" bestFit="1" width="6.7109375" style="0"/>
    <col min="5" max="6" customWidth="1" bestFit="1" width="13.855469" style="0"/>
    <col min="7" max="7" customWidth="1" bestFit="1" width="6.140625" style="0"/>
    <col min="8" max="8" customWidth="1" bestFit="1" width="5.5703125" style="0"/>
    <col min="9" max="9" customWidth="1" bestFit="1" width="19.0" style="0"/>
    <col min="10" max="10" customWidth="1" bestFit="1" width="6.140625" style="0"/>
    <col min="11" max="11" customWidth="1" bestFit="1" width="5.5703125" style="0"/>
    <col min="12" max="12" customWidth="1" bestFit="1" width="19.0" style="0"/>
    <col min="13" max="13" customWidth="1" bestFit="1" width="6.140625" style="0"/>
    <col min="14" max="14" customWidth="1" bestFit="1" width="5.5703125" style="0"/>
    <col min="15" max="15" customWidth="1" width="20.0" style="0"/>
    <col min="16" max="16" customWidth="1" bestFit="1" width="6.140625" style="0"/>
    <col min="17" max="17" customWidth="1" bestFit="1" width="5.5703125" style="0"/>
    <col min="18" max="18" customWidth="1" bestFit="1" width="18.0" style="0"/>
    <col min="19" max="19" customWidth="1" bestFit="1" width="15.7109375" style="0"/>
    <col min="20" max="20" customWidth="1" bestFit="1" width="22.710938" style="0"/>
  </cols>
  <sheetData>
    <row r="1" spans="8:8" ht="27.95" customHeight="1">
      <c r="A1" s="45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8:8" ht="18.0" customHeight="1">
      <c r="A2" s="4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8:8" ht="8.1" customHeight="1"/>
    <row r="4" spans="8:8" ht="8.1" customHeight="1"/>
    <row r="5" spans="8:8" ht="20.1" customHeight="1">
      <c r="A5" s="47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8:8" ht="15.95" customHeight="1">
      <c r="A6" s="48"/>
      <c r="B6" s="48"/>
      <c r="C6" s="48"/>
      <c r="D6" s="48"/>
      <c r="E6" s="48"/>
      <c r="F6" s="48"/>
      <c r="G6" s="49" t="s">
        <v>25</v>
      </c>
      <c r="H6" s="50"/>
      <c r="I6" s="50"/>
      <c r="J6" s="49" t="s">
        <v>26</v>
      </c>
      <c r="K6" s="50"/>
      <c r="L6" s="50"/>
      <c r="M6" s="49" t="s">
        <v>27</v>
      </c>
      <c r="N6" s="50"/>
      <c r="O6" s="50"/>
      <c r="P6" s="49" t="s">
        <v>28</v>
      </c>
      <c r="Q6" s="50"/>
      <c r="R6" s="50"/>
      <c r="S6" s="48"/>
      <c r="T6" s="48"/>
    </row>
    <row r="7" spans="8:8" ht="38.1" customHeight="1">
      <c r="A7" s="51" t="s">
        <v>29</v>
      </c>
      <c r="B7" s="51" t="s">
        <v>30</v>
      </c>
      <c r="C7" s="51" t="s">
        <v>31</v>
      </c>
      <c r="D7" s="51" t="s">
        <v>32</v>
      </c>
      <c r="E7" s="51" t="s">
        <v>33</v>
      </c>
      <c r="F7" s="51" t="s">
        <v>34</v>
      </c>
      <c r="G7" s="51" t="s">
        <v>35</v>
      </c>
      <c r="H7" s="51" t="s">
        <v>36</v>
      </c>
      <c r="I7" s="51" t="s">
        <v>37</v>
      </c>
      <c r="J7" s="51" t="s">
        <v>35</v>
      </c>
      <c r="K7" s="51" t="s">
        <v>36</v>
      </c>
      <c r="L7" s="51" t="s">
        <v>37</v>
      </c>
      <c r="M7" s="51" t="s">
        <v>35</v>
      </c>
      <c r="N7" s="51" t="s">
        <v>36</v>
      </c>
      <c r="O7" s="51" t="s">
        <v>37</v>
      </c>
      <c r="P7" s="51" t="s">
        <v>35</v>
      </c>
      <c r="Q7" s="51" t="s">
        <v>36</v>
      </c>
      <c r="R7" s="51" t="s">
        <v>37</v>
      </c>
      <c r="S7" s="51" t="s">
        <v>38</v>
      </c>
      <c r="T7" s="51" t="s">
        <v>39</v>
      </c>
    </row>
    <row r="8" spans="8:8" ht="36.0" customHeight="1">
      <c r="A8" s="52">
        <v>1.0</v>
      </c>
      <c r="B8" s="53" t="s">
        <v>97</v>
      </c>
      <c r="C8" s="54">
        <v>4.0</v>
      </c>
      <c r="D8" s="54" t="s">
        <v>98</v>
      </c>
      <c r="E8" s="55">
        <v>95.0</v>
      </c>
      <c r="F8" s="56" t="s">
        <v>99</v>
      </c>
      <c r="G8" s="55">
        <v>95.0</v>
      </c>
      <c r="H8" s="54">
        <v>6.0</v>
      </c>
      <c r="I8" s="14" t="s">
        <v>100</v>
      </c>
      <c r="J8" s="54">
        <v>105.0</v>
      </c>
      <c r="K8" s="54">
        <v>6.0</v>
      </c>
      <c r="L8" s="15" t="s">
        <v>101</v>
      </c>
      <c r="M8" s="54">
        <v>115.0</v>
      </c>
      <c r="N8" s="54">
        <v>6.0</v>
      </c>
      <c r="O8" s="16" t="s">
        <v>102</v>
      </c>
      <c r="P8" s="54">
        <v>125.0</v>
      </c>
      <c r="Q8" s="54">
        <v>4.0</v>
      </c>
      <c r="R8" s="16" t="s">
        <v>103</v>
      </c>
      <c r="S8" s="54" t="str">
        <f>IF(Q8="","–",IF(ISNUMBER(Q8),IF(Q8&gt;6,"✓ TAK – dodaj 2,5 kg","✗ NIE – zostań z ciężarem"),"–"))</f>
        <v>✗ NIE – zostań z ciężarem</v>
      </c>
      <c r="T8" s="57"/>
    </row>
    <row r="9" spans="8:8" ht="36.0" customHeight="1">
      <c r="A9" s="58">
        <v>2.0</v>
      </c>
      <c r="B9" s="20" t="s">
        <v>104</v>
      </c>
      <c r="C9" s="21">
        <v>4.0</v>
      </c>
      <c r="D9" s="21" t="s">
        <v>41</v>
      </c>
      <c r="E9" s="22" t="s">
        <v>105</v>
      </c>
      <c r="F9" s="13" t="s">
        <v>42</v>
      </c>
      <c r="G9" s="22" t="s">
        <v>105</v>
      </c>
      <c r="H9" s="21">
        <v>6.0</v>
      </c>
      <c r="I9" s="15" t="s">
        <v>106</v>
      </c>
      <c r="J9" s="22" t="s">
        <v>105</v>
      </c>
      <c r="K9" s="21">
        <v>6.0</v>
      </c>
      <c r="L9" s="16" t="s">
        <v>107</v>
      </c>
      <c r="M9" s="22" t="s">
        <v>105</v>
      </c>
      <c r="N9" s="21">
        <v>6.0</v>
      </c>
      <c r="O9" s="16" t="s">
        <v>107</v>
      </c>
      <c r="P9" s="22" t="s">
        <v>105</v>
      </c>
      <c r="Q9" s="21">
        <v>6.0</v>
      </c>
      <c r="R9" s="17" t="s">
        <v>46</v>
      </c>
      <c r="S9" s="21" t="str">
        <f>IF(Q9="","–",IF(ISNUMBER(Q9),IF(Q9&gt;8,"✓ TAK – dodaj 2,5 kg","✗ NIE – zostań z ciężarem"),"–"))</f>
        <v>✗ NIE – zostań z ciężarem</v>
      </c>
      <c r="T9" s="24" t="s">
        <v>108</v>
      </c>
    </row>
    <row r="10" spans="8:8" ht="36.0" customHeight="1">
      <c r="A10" s="52">
        <v>3.0</v>
      </c>
      <c r="B10" s="53" t="s">
        <v>154</v>
      </c>
      <c r="C10" s="54">
        <v>4.0</v>
      </c>
      <c r="D10" s="54" t="s">
        <v>155</v>
      </c>
      <c r="E10" s="55">
        <v>55.0</v>
      </c>
      <c r="F10" s="13" t="s">
        <v>42</v>
      </c>
      <c r="G10" s="54">
        <v>55.0</v>
      </c>
      <c r="H10" s="54">
        <v>10.0</v>
      </c>
      <c r="I10" s="15" t="s">
        <v>159</v>
      </c>
      <c r="J10" s="54">
        <v>60.0</v>
      </c>
      <c r="K10" s="59">
        <v>10.0</v>
      </c>
      <c r="L10" s="16" t="s">
        <v>158</v>
      </c>
      <c r="M10" s="54">
        <v>65.0</v>
      </c>
      <c r="N10" s="54">
        <v>10.0</v>
      </c>
      <c r="O10" s="16" t="s">
        <v>158</v>
      </c>
      <c r="P10" s="54">
        <v>73.0</v>
      </c>
      <c r="Q10" s="54">
        <v>11.0</v>
      </c>
      <c r="R10" s="17" t="s">
        <v>46</v>
      </c>
      <c r="S10" s="54" t="str">
        <f>IF(Q10="","–",IF(ISNUMBER(Q10),IF(Q10&gt;6,"✓ TAK – dodaj 2,5 kg","✗ NIE – zostań z ciężarem"),"–"))</f>
        <v>✓ TAK – dodaj 2,5 kg</v>
      </c>
      <c r="T10" s="57"/>
    </row>
    <row r="11" spans="8:8" ht="36.0" customHeight="1">
      <c r="A11" s="58">
        <v>4.0</v>
      </c>
      <c r="B11" s="20" t="s">
        <v>109</v>
      </c>
      <c r="C11" s="21">
        <v>3.0</v>
      </c>
      <c r="D11" s="21" t="s">
        <v>110</v>
      </c>
      <c r="E11" s="22" t="s">
        <v>157</v>
      </c>
      <c r="F11" s="13" t="s">
        <v>42</v>
      </c>
      <c r="G11" s="22" t="s">
        <v>157</v>
      </c>
      <c r="H11" s="21">
        <v>12.0</v>
      </c>
      <c r="I11" s="15" t="s">
        <v>51</v>
      </c>
      <c r="J11" s="22" t="s">
        <v>157</v>
      </c>
      <c r="K11" s="21">
        <v>12.0</v>
      </c>
      <c r="L11" s="16" t="s">
        <v>69</v>
      </c>
      <c r="M11" s="22" t="s">
        <v>157</v>
      </c>
      <c r="N11" s="21">
        <v>10.0</v>
      </c>
      <c r="O11" s="17" t="s">
        <v>46</v>
      </c>
      <c r="P11" s="23"/>
      <c r="Q11" s="23"/>
      <c r="R11" s="23"/>
      <c r="S11" s="54" t="str">
        <f>IF(N11="","–",IF(ISNUMBER(N11),IF(N11&gt;12,"✓ TAK – dodaj 2,5 kg","✗ NIE – zostań z ciężarem"),"–"))</f>
        <v>✗ NIE – zostań z ciężarem</v>
      </c>
      <c r="T11" s="60" t="s">
        <v>111</v>
      </c>
    </row>
    <row r="12" spans="8:8" ht="15.95" customHeight="1">
      <c r="A12" s="26" t="s">
        <v>71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4" spans="8:8" ht="21.95" customHeight="1">
      <c r="A14" s="61" t="s">
        <v>73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8:8" ht="27.95" customHeight="1">
      <c r="A15" s="62" t="s">
        <v>3</v>
      </c>
      <c r="B15" s="63" t="s">
        <v>4</v>
      </c>
      <c r="C15" s="64"/>
      <c r="D15" s="64"/>
      <c r="E15" s="64"/>
      <c r="F15" s="62" t="s">
        <v>5</v>
      </c>
      <c r="G15" s="63" t="s">
        <v>6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5"/>
    </row>
    <row r="16" spans="8:8" ht="24.0" customHeight="1">
      <c r="A16" s="66" t="s">
        <v>7</v>
      </c>
      <c r="B16" s="67" t="s">
        <v>8</v>
      </c>
      <c r="C16" s="68"/>
      <c r="D16" s="68"/>
      <c r="E16" s="68"/>
      <c r="F16" s="69" t="s">
        <v>9</v>
      </c>
      <c r="G16" s="70" t="s">
        <v>74</v>
      </c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71"/>
    </row>
    <row r="17" spans="8:8" ht="24.0" customHeight="1">
      <c r="A17" s="38" t="s">
        <v>7</v>
      </c>
      <c r="B17" s="39" t="s">
        <v>75</v>
      </c>
      <c r="C17" s="40"/>
      <c r="D17" s="40"/>
      <c r="E17" s="40"/>
      <c r="F17" s="72" t="s">
        <v>76</v>
      </c>
      <c r="G17" s="42" t="s">
        <v>77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3"/>
    </row>
    <row r="18" spans="8:8" ht="24.0" customHeight="1">
      <c r="A18" s="66" t="s">
        <v>78</v>
      </c>
      <c r="B18" s="67" t="s">
        <v>79</v>
      </c>
      <c r="C18" s="68"/>
      <c r="D18" s="68"/>
      <c r="E18" s="68"/>
      <c r="F18" s="69" t="s">
        <v>16</v>
      </c>
      <c r="G18" s="70" t="s">
        <v>80</v>
      </c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71"/>
    </row>
    <row r="19" spans="8:8" ht="24.0" customHeight="1">
      <c r="A19" s="38" t="s">
        <v>78</v>
      </c>
      <c r="B19" s="39" t="s">
        <v>81</v>
      </c>
      <c r="C19" s="40"/>
      <c r="D19" s="40"/>
      <c r="E19" s="40"/>
      <c r="F19" s="72" t="s">
        <v>16</v>
      </c>
      <c r="G19" s="42" t="s">
        <v>82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3"/>
    </row>
    <row r="20" spans="8:8" ht="24.0" customHeight="1">
      <c r="A20" s="66" t="s">
        <v>83</v>
      </c>
      <c r="B20" s="67" t="s">
        <v>84</v>
      </c>
      <c r="C20" s="68"/>
      <c r="D20" s="68"/>
      <c r="E20" s="68"/>
      <c r="F20" s="69" t="s">
        <v>16</v>
      </c>
      <c r="G20" s="70" t="s">
        <v>85</v>
      </c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71"/>
    </row>
    <row r="21" spans="8:8" ht="24.0" customHeight="1">
      <c r="A21" s="38" t="s">
        <v>83</v>
      </c>
      <c r="B21" s="39" t="s">
        <v>18</v>
      </c>
      <c r="C21" s="40"/>
      <c r="D21" s="40"/>
      <c r="E21" s="40"/>
      <c r="F21" s="72" t="s">
        <v>16</v>
      </c>
      <c r="G21" s="42" t="s">
        <v>86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3"/>
    </row>
    <row r="22" spans="8:8" ht="24.0" customHeight="1">
      <c r="A22" s="66" t="s">
        <v>83</v>
      </c>
      <c r="B22" s="67" t="s">
        <v>87</v>
      </c>
      <c r="C22" s="68"/>
      <c r="D22" s="68"/>
      <c r="E22" s="68"/>
      <c r="F22" s="69" t="s">
        <v>16</v>
      </c>
      <c r="G22" s="70" t="s">
        <v>88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71"/>
    </row>
    <row r="23" spans="8:8" ht="24.0" customHeight="1">
      <c r="A23" s="38" t="s">
        <v>83</v>
      </c>
      <c r="B23" s="39" t="s">
        <v>89</v>
      </c>
      <c r="C23" s="40"/>
      <c r="D23" s="40"/>
      <c r="E23" s="40"/>
      <c r="F23" s="72" t="s">
        <v>16</v>
      </c>
      <c r="G23" s="42" t="s">
        <v>90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3"/>
    </row>
    <row r="24" spans="8:8" ht="24.0" customHeight="1">
      <c r="A24" s="66" t="s">
        <v>83</v>
      </c>
      <c r="B24" s="67" t="s">
        <v>91</v>
      </c>
      <c r="C24" s="68"/>
      <c r="D24" s="68"/>
      <c r="E24" s="68"/>
      <c r="F24" s="69" t="s">
        <v>16</v>
      </c>
      <c r="G24" s="70" t="s">
        <v>92</v>
      </c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71"/>
    </row>
    <row r="25" spans="8:8" ht="24.0" customHeight="1">
      <c r="A25" s="38" t="s">
        <v>93</v>
      </c>
      <c r="B25" s="39" t="s">
        <v>94</v>
      </c>
      <c r="C25" s="40"/>
      <c r="D25" s="40"/>
      <c r="E25" s="40"/>
      <c r="F25" s="72" t="s">
        <v>16</v>
      </c>
      <c r="G25" s="42" t="s">
        <v>95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3"/>
    </row>
    <row r="26" spans="8:8" ht="18.0" customHeight="1">
      <c r="A26" s="44" t="s">
        <v>96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</sheetData>
  <mergeCells count="32">
    <mergeCell ref="B25:E25"/>
    <mergeCell ref="J6:L6"/>
    <mergeCell ref="G16:S16"/>
    <mergeCell ref="G22:S22"/>
    <mergeCell ref="A14:T14"/>
    <mergeCell ref="A12:T12"/>
    <mergeCell ref="A26:T26"/>
    <mergeCell ref="B19:E19"/>
    <mergeCell ref="G23:S23"/>
    <mergeCell ref="A1:T1"/>
    <mergeCell ref="A2:T2"/>
    <mergeCell ref="G25:S25"/>
    <mergeCell ref="M6:O6"/>
    <mergeCell ref="B15:E15"/>
    <mergeCell ref="A5:T5"/>
    <mergeCell ref="G20:S20"/>
    <mergeCell ref="B17:E17"/>
    <mergeCell ref="G18:S18"/>
    <mergeCell ref="B21:E21"/>
    <mergeCell ref="B18:E18"/>
    <mergeCell ref="B20:E20"/>
    <mergeCell ref="P6:R6"/>
    <mergeCell ref="G24:S24"/>
    <mergeCell ref="B16:E16"/>
    <mergeCell ref="G19:S19"/>
    <mergeCell ref="B22:E22"/>
    <mergeCell ref="B23:E23"/>
    <mergeCell ref="B24:E24"/>
    <mergeCell ref="G15:S15"/>
    <mergeCell ref="G6:I6"/>
    <mergeCell ref="G17:S17"/>
    <mergeCell ref="G21:S21"/>
  </mergeCells>
  <pageMargins left="0.75" right="0.75" top="1.0" bottom="1.0" header="0.5" footer="0.5"/>
  <headerFooter>
    <oddFooter>&amp;C_x000D_&amp;1#&amp;"Aptos"&amp;10&amp;K000000 DSV internal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U27"/>
  <sheetViews>
    <sheetView workbookViewId="0">
      <selection activeCell="H10" sqref="H10"/>
    </sheetView>
  </sheetViews>
  <sheetFormatPr defaultRowHeight="15.0" defaultColWidth="10"/>
  <cols>
    <col min="1" max="1" customWidth="1" bestFit="1" width="9.425781" style="0"/>
    <col min="2" max="2" customWidth="1" bestFit="1" width="20.140625" style="0"/>
    <col min="3" max="3" customWidth="1" bestFit="1" width="5.8554688" style="0"/>
    <col min="4" max="4" customWidth="1" bestFit="1" width="6.7109375" style="0"/>
    <col min="5" max="6" customWidth="1" bestFit="1" width="13.855469" style="0"/>
    <col min="7" max="7" customWidth="1" bestFit="1" width="6.140625" style="0"/>
    <col min="8" max="8" customWidth="1" bestFit="1" width="5.5703125" style="0"/>
    <col min="9" max="9" customWidth="1" bestFit="1" width="19.0" style="0"/>
    <col min="10" max="10" customWidth="1" bestFit="1" width="6.140625" style="0"/>
    <col min="11" max="11" customWidth="1" bestFit="1" width="5.5703125" style="0"/>
    <col min="12" max="12" customWidth="1" bestFit="1" width="19.0" style="0"/>
    <col min="13" max="13" customWidth="1" bestFit="1" width="6.140625" style="0"/>
    <col min="14" max="14" customWidth="1" bestFit="1" width="5.5703125" style="0"/>
    <col min="15" max="15" customWidth="1" bestFit="1" width="18.0" style="0"/>
    <col min="16" max="16" customWidth="1" bestFit="1" width="6.140625" style="0"/>
    <col min="17" max="17" customWidth="1" bestFit="1" width="5.5703125" style="0"/>
    <col min="18" max="18" customWidth="1" width="20.0" style="0"/>
    <col min="19" max="19" customWidth="1" bestFit="1" width="15.7109375" style="0"/>
    <col min="20" max="20" customWidth="1" bestFit="1" width="24.0" style="0"/>
  </cols>
  <sheetData>
    <row r="1" spans="8:8" ht="27.95" customHeight="1">
      <c r="A1" s="73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8:8" ht="18.0" customHeight="1">
      <c r="A2" s="7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8:8" ht="8.1" customHeight="1"/>
    <row r="4" spans="8:8" ht="8.1" customHeight="1"/>
    <row r="5" spans="8:8" ht="20.1" customHeight="1">
      <c r="A5" s="75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8:8" ht="15.95" customHeight="1">
      <c r="A6" s="76"/>
      <c r="B6" s="76"/>
      <c r="C6" s="76"/>
      <c r="D6" s="76"/>
      <c r="E6" s="76"/>
      <c r="F6" s="76"/>
      <c r="G6" s="77" t="s">
        <v>25</v>
      </c>
      <c r="H6" s="78"/>
      <c r="I6" s="78"/>
      <c r="J6" s="77" t="s">
        <v>26</v>
      </c>
      <c r="K6" s="78"/>
      <c r="L6" s="78"/>
      <c r="M6" s="77" t="s">
        <v>27</v>
      </c>
      <c r="N6" s="78"/>
      <c r="O6" s="78"/>
      <c r="P6" s="77" t="s">
        <v>28</v>
      </c>
      <c r="Q6" s="78"/>
      <c r="R6" s="78"/>
      <c r="S6" s="76"/>
      <c r="T6" s="76"/>
    </row>
    <row r="7" spans="8:8" ht="38.1" customHeight="1">
      <c r="A7" s="79" t="s">
        <v>29</v>
      </c>
      <c r="B7" s="79" t="s">
        <v>30</v>
      </c>
      <c r="C7" s="79" t="s">
        <v>31</v>
      </c>
      <c r="D7" s="79" t="s">
        <v>32</v>
      </c>
      <c r="E7" s="79" t="s">
        <v>33</v>
      </c>
      <c r="F7" s="79" t="s">
        <v>34</v>
      </c>
      <c r="G7" s="79" t="s">
        <v>35</v>
      </c>
      <c r="H7" s="79" t="s">
        <v>36</v>
      </c>
      <c r="I7" s="79" t="s">
        <v>37</v>
      </c>
      <c r="J7" s="79" t="s">
        <v>35</v>
      </c>
      <c r="K7" s="79" t="s">
        <v>36</v>
      </c>
      <c r="L7" s="79" t="s">
        <v>37</v>
      </c>
      <c r="M7" s="79" t="s">
        <v>35</v>
      </c>
      <c r="N7" s="79" t="s">
        <v>36</v>
      </c>
      <c r="O7" s="79" t="s">
        <v>37</v>
      </c>
      <c r="P7" s="79" t="s">
        <v>35</v>
      </c>
      <c r="Q7" s="79" t="s">
        <v>36</v>
      </c>
      <c r="R7" s="79" t="s">
        <v>37</v>
      </c>
      <c r="S7" s="79" t="s">
        <v>38</v>
      </c>
      <c r="T7" s="79" t="s">
        <v>39</v>
      </c>
    </row>
    <row r="8" spans="8:8" ht="36.0" customHeight="1">
      <c r="A8" s="80">
        <v>1.0</v>
      </c>
      <c r="B8" s="81" t="s">
        <v>144</v>
      </c>
      <c r="C8" s="82">
        <v>4.0</v>
      </c>
      <c r="D8" s="82" t="s">
        <v>145</v>
      </c>
      <c r="E8" s="83">
        <v>70.0</v>
      </c>
      <c r="F8" s="56" t="s">
        <v>99</v>
      </c>
      <c r="G8" s="82"/>
      <c r="H8" s="82"/>
      <c r="I8" s="14" t="s">
        <v>146</v>
      </c>
      <c r="J8" s="82"/>
      <c r="K8" s="82"/>
      <c r="L8" s="15" t="s">
        <v>106</v>
      </c>
      <c r="M8" s="82"/>
      <c r="N8" s="82"/>
      <c r="O8" s="16" t="s">
        <v>107</v>
      </c>
      <c r="P8" s="82"/>
      <c r="Q8" s="82"/>
      <c r="R8" s="16" t="s">
        <v>147</v>
      </c>
      <c r="S8" s="82" t="str">
        <f>IF(Q8="","–",IF(ISNUMBER(Q8),IF(Q8&gt;8,"✓ TAK – dodaj 2,5 kg","✗ NIE – zostań z ciężarem"),"–"))</f>
        <v>–</v>
      </c>
      <c r="T8" s="84"/>
    </row>
    <row r="9" spans="8:8" ht="36.0" customHeight="1">
      <c r="A9" s="85">
        <v>2.0</v>
      </c>
      <c r="B9" s="20" t="s">
        <v>148</v>
      </c>
      <c r="C9" s="21">
        <v>3.0</v>
      </c>
      <c r="D9" s="21" t="s">
        <v>49</v>
      </c>
      <c r="E9" s="22">
        <v>40.0</v>
      </c>
      <c r="F9" s="13" t="s">
        <v>42</v>
      </c>
      <c r="G9" s="21"/>
      <c r="H9" s="21"/>
      <c r="I9" s="15" t="s">
        <v>149</v>
      </c>
      <c r="J9" s="21"/>
      <c r="K9" s="21"/>
      <c r="L9" s="16" t="s">
        <v>150</v>
      </c>
      <c r="M9" s="21"/>
      <c r="N9" s="21"/>
      <c r="O9" s="17" t="s">
        <v>46</v>
      </c>
      <c r="P9" s="23"/>
      <c r="Q9" s="23"/>
      <c r="R9" s="23"/>
      <c r="S9" s="21" t="str">
        <f>IF(N9="","–",IF(ISNUMBER(N9),IF(N9&gt;10,"✓ TAK – dodaj 2,5 kg","✗ NIE – zostań z ciężarem"),"–"))</f>
        <v>–</v>
      </c>
      <c r="T9" s="24" t="s">
        <v>151</v>
      </c>
    </row>
    <row r="10" spans="8:8" ht="36.0" customHeight="1">
      <c r="A10" s="80">
        <v>3.0</v>
      </c>
      <c r="B10" s="81" t="s">
        <v>152</v>
      </c>
      <c r="C10" s="82">
        <v>3.0</v>
      </c>
      <c r="D10" s="82" t="s">
        <v>110</v>
      </c>
      <c r="E10" s="83">
        <v>50.0</v>
      </c>
      <c r="F10" s="13" t="s">
        <v>42</v>
      </c>
      <c r="G10" s="82"/>
      <c r="H10" s="82"/>
      <c r="I10" s="15" t="s">
        <v>51</v>
      </c>
      <c r="J10" s="82"/>
      <c r="K10" s="82"/>
      <c r="L10" s="16" t="s">
        <v>69</v>
      </c>
      <c r="M10" s="82"/>
      <c r="N10" s="82"/>
      <c r="O10" s="17" t="s">
        <v>46</v>
      </c>
      <c r="P10" s="23"/>
      <c r="Q10" s="23"/>
      <c r="R10" s="23"/>
      <c r="S10" s="82" t="str">
        <f>IF(N10="","–",IF(ISNUMBER(N10),IF(N10&gt;12,"✓ TAK – dodaj 2,5 kg","✗ NIE – zostań z ciężarem"),"–"))</f>
        <v>–</v>
      </c>
      <c r="T10" s="86" t="s">
        <v>153</v>
      </c>
    </row>
    <row r="11" spans="8:8" ht="15.95" customHeight="1">
      <c r="A11" s="26" t="s">
        <v>71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3" spans="8:8" ht="21.95" customHeight="1">
      <c r="A13" s="87" t="s">
        <v>113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8:8" ht="27.95" customHeight="1">
      <c r="A14" s="88" t="s">
        <v>3</v>
      </c>
      <c r="B14" s="89" t="s">
        <v>4</v>
      </c>
      <c r="C14" s="90"/>
      <c r="D14" s="90"/>
      <c r="E14" s="90"/>
      <c r="F14" s="88" t="s">
        <v>5</v>
      </c>
      <c r="G14" s="89" t="s">
        <v>6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1"/>
    </row>
    <row r="15" spans="8:8" ht="24.0" customHeight="1">
      <c r="A15" s="92" t="s">
        <v>7</v>
      </c>
      <c r="B15" s="93" t="s">
        <v>114</v>
      </c>
      <c r="C15" s="94"/>
      <c r="D15" s="94"/>
      <c r="E15" s="94"/>
      <c r="F15" s="95" t="s">
        <v>115</v>
      </c>
      <c r="G15" s="96" t="s">
        <v>116</v>
      </c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7"/>
    </row>
    <row r="16" spans="8:8" ht="24.0" customHeight="1">
      <c r="A16" s="38" t="s">
        <v>117</v>
      </c>
      <c r="B16" s="39" t="s">
        <v>118</v>
      </c>
      <c r="C16" s="40"/>
      <c r="D16" s="40"/>
      <c r="E16" s="40"/>
      <c r="F16" s="98" t="s">
        <v>16</v>
      </c>
      <c r="G16" s="42" t="s">
        <v>119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3"/>
    </row>
    <row r="17" spans="8:8" ht="24.0" customHeight="1">
      <c r="A17" s="92" t="s">
        <v>117</v>
      </c>
      <c r="B17" s="93" t="s">
        <v>120</v>
      </c>
      <c r="C17" s="94"/>
      <c r="D17" s="94"/>
      <c r="E17" s="94"/>
      <c r="F17" s="95" t="s">
        <v>16</v>
      </c>
      <c r="G17" s="96" t="s">
        <v>121</v>
      </c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7"/>
    </row>
    <row r="18" spans="8:8" ht="24.0" customHeight="1">
      <c r="A18" s="38" t="s">
        <v>117</v>
      </c>
      <c r="B18" s="39" t="s">
        <v>122</v>
      </c>
      <c r="C18" s="40"/>
      <c r="D18" s="40"/>
      <c r="E18" s="40"/>
      <c r="F18" s="98" t="s">
        <v>16</v>
      </c>
      <c r="G18" s="42" t="s">
        <v>123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3"/>
    </row>
    <row r="19" spans="8:8" ht="24.0" customHeight="1">
      <c r="A19" s="92" t="s">
        <v>117</v>
      </c>
      <c r="B19" s="93" t="s">
        <v>124</v>
      </c>
      <c r="C19" s="94"/>
      <c r="D19" s="94"/>
      <c r="E19" s="94"/>
      <c r="F19" s="95" t="s">
        <v>16</v>
      </c>
      <c r="G19" s="96" t="s">
        <v>125</v>
      </c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7"/>
    </row>
    <row r="20" spans="8:8" ht="24.0" customHeight="1">
      <c r="A20" s="38" t="s">
        <v>126</v>
      </c>
      <c r="B20" s="39" t="s">
        <v>127</v>
      </c>
      <c r="C20" s="40"/>
      <c r="D20" s="40"/>
      <c r="E20" s="40"/>
      <c r="F20" s="98" t="s">
        <v>16</v>
      </c>
      <c r="G20" s="42" t="s">
        <v>128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3"/>
    </row>
    <row r="21" spans="8:8" ht="24.0" customHeight="1">
      <c r="A21" s="92" t="s">
        <v>129</v>
      </c>
      <c r="B21" s="93" t="s">
        <v>130</v>
      </c>
      <c r="C21" s="94"/>
      <c r="D21" s="94"/>
      <c r="E21" s="94"/>
      <c r="F21" s="95" t="s">
        <v>16</v>
      </c>
      <c r="G21" s="96" t="s">
        <v>131</v>
      </c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7"/>
    </row>
    <row r="22" spans="8:8" ht="24.0" customHeight="1">
      <c r="A22" s="38" t="s">
        <v>129</v>
      </c>
      <c r="B22" s="39" t="s">
        <v>132</v>
      </c>
      <c r="C22" s="40"/>
      <c r="D22" s="40"/>
      <c r="E22" s="40"/>
      <c r="F22" s="98" t="s">
        <v>16</v>
      </c>
      <c r="G22" s="42" t="s">
        <v>133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3"/>
    </row>
    <row r="23" spans="8:8" ht="24.0" customHeight="1">
      <c r="A23" s="92" t="s">
        <v>129</v>
      </c>
      <c r="B23" s="93" t="s">
        <v>134</v>
      </c>
      <c r="C23" s="94"/>
      <c r="D23" s="94"/>
      <c r="E23" s="94"/>
      <c r="F23" s="95" t="s">
        <v>16</v>
      </c>
      <c r="G23" s="96" t="s">
        <v>135</v>
      </c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7"/>
    </row>
    <row r="24" spans="8:8" ht="24.0" customHeight="1">
      <c r="A24" s="38" t="s">
        <v>129</v>
      </c>
      <c r="B24" s="39" t="s">
        <v>136</v>
      </c>
      <c r="C24" s="40"/>
      <c r="D24" s="40"/>
      <c r="E24" s="40"/>
      <c r="F24" s="98" t="s">
        <v>16</v>
      </c>
      <c r="G24" s="42" t="s">
        <v>90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3"/>
    </row>
    <row r="25" spans="8:8" ht="24.0" customHeight="1">
      <c r="A25" s="92" t="s">
        <v>137</v>
      </c>
      <c r="B25" s="93" t="s">
        <v>138</v>
      </c>
      <c r="C25" s="94"/>
      <c r="D25" s="94"/>
      <c r="E25" s="94"/>
      <c r="F25" s="95" t="s">
        <v>16</v>
      </c>
      <c r="G25" s="96" t="s">
        <v>139</v>
      </c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7"/>
    </row>
    <row r="26" spans="8:8" ht="24.0" customHeight="1">
      <c r="A26" s="38" t="s">
        <v>140</v>
      </c>
      <c r="B26" s="39" t="s">
        <v>141</v>
      </c>
      <c r="C26" s="40"/>
      <c r="D26" s="40"/>
      <c r="E26" s="40"/>
      <c r="F26" s="98" t="s">
        <v>16</v>
      </c>
      <c r="G26" s="42" t="s">
        <v>142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3"/>
    </row>
    <row r="27" spans="8:8" ht="18.0" customHeight="1">
      <c r="A27" s="44" t="s">
        <v>143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</sheetData>
  <mergeCells count="36">
    <mergeCell ref="B25:E25"/>
    <mergeCell ref="B15:E15"/>
    <mergeCell ref="B26:E26"/>
    <mergeCell ref="B14:E14"/>
    <mergeCell ref="B22:E22"/>
    <mergeCell ref="A1:T1"/>
    <mergeCell ref="A2:T2"/>
    <mergeCell ref="P6:R6"/>
    <mergeCell ref="G23:S23"/>
    <mergeCell ref="A5:T5"/>
    <mergeCell ref="A27:T27"/>
    <mergeCell ref="G16:S16"/>
    <mergeCell ref="A11:T11"/>
    <mergeCell ref="B23:E23"/>
    <mergeCell ref="A13:T13"/>
    <mergeCell ref="G24:S24"/>
    <mergeCell ref="G14:S14"/>
    <mergeCell ref="G19:S19"/>
    <mergeCell ref="G20:S20"/>
    <mergeCell ref="G22:S22"/>
    <mergeCell ref="G21:S21"/>
    <mergeCell ref="G17:S17"/>
    <mergeCell ref="M6:O6"/>
    <mergeCell ref="B24:E24"/>
    <mergeCell ref="G6:I6"/>
    <mergeCell ref="B17:E17"/>
    <mergeCell ref="B20:E20"/>
    <mergeCell ref="B18:E18"/>
    <mergeCell ref="B19:E19"/>
    <mergeCell ref="B16:E16"/>
    <mergeCell ref="G26:S26"/>
    <mergeCell ref="G18:S18"/>
    <mergeCell ref="G15:S15"/>
    <mergeCell ref="G25:S25"/>
    <mergeCell ref="J6:L6"/>
    <mergeCell ref="B21:E21"/>
  </mergeCells>
  <pageMargins left="0.75" right="0.75" top="1.0" bottom="1.0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Office</cp:lastModifiedBy>
  <dcterms:created xsi:type="dcterms:W3CDTF">2026-06-02T08:58:15Z</dcterms:created>
  <dcterms:modified xsi:type="dcterms:W3CDTF">2026-06-20T08:32:45Z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MSIP_Label_fc6c1fee-2f04-49ca-98cf-bcf61896c7fa_SiteId">
    <vt:lpwstr>4a90c23a-3ece-4ef2-b857-522f23b8204c</vt:lpwstr>
  </property>
  <property fmtid="{D5CDD505-2E9C-101B-9397-08002B2CF9AE}" pid="5" name="MSIP_Label_fc6c1fee-2f04-49ca-98cf-bcf61896c7fa_ActionId">
    <vt:lpwstr>79faf6d9-b91e-41e4-98ae-e90a4d6833e9</vt:lpwstr>
  </property>
  <property fmtid="{D5CDD505-2E9C-101B-9397-08002B2CF9AE}" pid="6" name="MSIP_Label_fc6c1fee-2f04-49ca-98cf-bcf61896c7fa_SetDate">
    <vt:lpwstr>2026-06-02T13:01:15Z</vt:lpwstr>
  </property>
  <property fmtid="{D5CDD505-2E9C-101B-9397-08002B2CF9AE}" pid="7" name="MSIP_Label_fc6c1fee-2f04-49ca-98cf-bcf61896c7fa_Method">
    <vt:lpwstr>Standard</vt:lpwstr>
  </property>
  <property fmtid="{D5CDD505-2E9C-101B-9397-08002B2CF9AE}" pid="8" name="MSIP_Label_fc6c1fee-2f04-49ca-98cf-bcf61896c7fa_Enabled">
    <vt:lpwstr>true</vt:lpwstr>
  </property>
  <property fmtid="{D5CDD505-2E9C-101B-9397-08002B2CF9AE}" pid="9" name="ICV">
    <vt:lpwstr>640660c9304b444a82ea5cf162951d24</vt:lpwstr>
  </property>
  <property fmtid="{D5CDD505-2E9C-101B-9397-08002B2CF9AE}" pid="10" name="MSIP_Label_fc6c1fee-2f04-49ca-98cf-bcf61896c7fa_Name">
    <vt:lpwstr>Internal</vt:lpwstr>
  </property>
</Properties>
</file>