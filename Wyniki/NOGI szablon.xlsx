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GI – Uda · Poslad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b val="1"/>
      <sz val="9"/>
    </font>
    <font>
      <b val="1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8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4" customWidth="1" min="4" max="4"/>
    <col width="18" customWidth="1" min="5" max="5"/>
    <col width="26" customWidth="1" min="6" max="6"/>
    <col width="10" customWidth="1" min="7" max="7"/>
    <col width="7" customWidth="1" min="8" max="8"/>
    <col width="28" customWidth="1" min="9" max="9"/>
    <col width="10" customWidth="1" min="10" max="10"/>
    <col width="7" customWidth="1" min="11" max="11"/>
    <col width="28" customWidth="1" min="12" max="12"/>
    <col width="10" customWidth="1" min="13" max="13"/>
    <col width="7" customWidth="1" min="14" max="14"/>
    <col width="28" customWidth="1" min="15" max="15"/>
    <col width="10" customWidth="1" min="16" max="16"/>
    <col width="7" customWidth="1" min="17" max="17"/>
    <col width="28" customWidth="1" min="18" max="18"/>
    <col width="24" customWidth="1" min="19" max="19"/>
    <col width="34" customWidth="1" min="20" max="20"/>
  </cols>
  <sheetData>
    <row r="1">
      <c r="A1" s="1" t="inlineStr">
        <is>
          <t>NOGI – Uda · Posladki · Stabilnosc</t>
        </is>
      </c>
    </row>
    <row r="2">
      <c r="A2" t="inlineStr">
        <is>
          <t>Progresja: gdy ostatnia seria przekracza gorny pulap zakresu -&gt; nastepny trening dodaj 2,5 kg (izolacja: +1 kg)</t>
        </is>
      </c>
    </row>
    <row r="5">
      <c r="A5" s="2" t="inlineStr">
        <is>
          <t>TRENING WLASCIWY</t>
        </is>
      </c>
    </row>
    <row r="6">
      <c r="G6" s="3" t="inlineStr">
        <is>
          <t>SERIA 1</t>
        </is>
      </c>
      <c r="J6" s="3" t="inlineStr">
        <is>
          <t>SERIA 2</t>
        </is>
      </c>
      <c r="M6" s="3" t="inlineStr">
        <is>
          <t>SERIA 3</t>
        </is>
      </c>
      <c r="P6" s="3" t="inlineStr">
        <is>
          <t>SERIA 4</t>
        </is>
      </c>
    </row>
    <row r="7" ht="42" customHeight="1">
      <c r="A7" s="4" t="inlineStr">
        <is>
          <t>#</t>
        </is>
      </c>
      <c r="B7" s="4" t="inlineStr">
        <is>
          <t>Cwiczenie</t>
        </is>
      </c>
      <c r="C7" s="4" t="inlineStr">
        <is>
          <t>Serie
w planie</t>
        </is>
      </c>
      <c r="D7" s="4" t="inlineStr">
        <is>
          <t>Zakres
powt.</t>
        </is>
      </c>
      <c r="E7" s="4" t="inlineStr">
        <is>
          <t>Ciezar startowy</t>
        </is>
      </c>
      <c r="F7" s="4" t="inlineStr">
        <is>
          <t>Ostatnia seria
do upadku?</t>
        </is>
      </c>
      <c r="G7" s="4" t="inlineStr">
        <is>
          <t>Ciezar
(kg)</t>
        </is>
      </c>
      <c r="H7" s="4" t="inlineStr">
        <is>
          <t>Powt.</t>
        </is>
      </c>
      <c r="I7" s="4" t="inlineStr">
        <is>
          <t>RIR cel
+ wskazowka</t>
        </is>
      </c>
      <c r="J7" s="4" t="inlineStr">
        <is>
          <t>Ciezar
(kg)</t>
        </is>
      </c>
      <c r="K7" s="4" t="inlineStr">
        <is>
          <t>Powt.</t>
        </is>
      </c>
      <c r="L7" s="4" t="inlineStr">
        <is>
          <t>RIR cel
+ wskazowka</t>
        </is>
      </c>
      <c r="M7" s="4" t="inlineStr">
        <is>
          <t>Ciezar
(kg)</t>
        </is>
      </c>
      <c r="N7" s="4" t="inlineStr">
        <is>
          <t>Powt.</t>
        </is>
      </c>
      <c r="O7" s="4" t="inlineStr">
        <is>
          <t>RIR cel
+ wskazowka</t>
        </is>
      </c>
      <c r="P7" s="4" t="inlineStr">
        <is>
          <t>Ciezar
(kg)</t>
        </is>
      </c>
      <c r="Q7" s="4" t="inlineStr">
        <is>
          <t>Powt.</t>
        </is>
      </c>
      <c r="R7" s="4" t="inlineStr">
        <is>
          <t>RIR cel
+ wskazowka</t>
        </is>
      </c>
      <c r="S7" s="4" t="inlineStr">
        <is>
          <t>Dodac ciezar
nastepny trening?</t>
        </is>
      </c>
      <c r="T7" s="4" t="inlineStr">
        <is>
          <t>Wskazowki techniczne</t>
        </is>
      </c>
    </row>
    <row r="8" ht="32" customHeight="1">
      <c r="A8" t="n">
        <v>1</v>
      </c>
      <c r="B8" s="5" t="inlineStr">
        <is>
          <t>Przysiad ze sztanga [PIRAMIDA]</t>
        </is>
      </c>
      <c r="C8" t="n">
        <v>3</v>
      </c>
      <c r="D8" t="inlineStr">
        <is>
          <t>5-8</t>
        </is>
      </c>
      <c r="E8" t="inlineStr">
        <is>
          <t>60 / 70 / 75 kg</t>
        </is>
      </c>
      <c r="F8" t="inlineStr">
        <is>
          <t>NIE – bezpieczenstwo kregoslupa</t>
        </is>
      </c>
      <c r="G8" s="6" t="n">
        <v>60</v>
      </c>
      <c r="H8" s="6" t="n"/>
      <c r="I8" s="7" t="inlineStr">
        <is>
          <t>RIR 3  –  5-6 powt., 3 w zapasie</t>
        </is>
      </c>
      <c r="J8" s="8" t="n">
        <v>70</v>
      </c>
      <c r="K8" s="8" t="n"/>
      <c r="L8" s="9" t="inlineStr">
        <is>
          <t>RIR 2  –  6-7 powt., 2 w zapasie</t>
        </is>
      </c>
      <c r="M8" s="10" t="n">
        <v>75</v>
      </c>
      <c r="N8" s="10" t="n"/>
      <c r="O8" s="11" t="inlineStr">
        <is>
          <t>RIR 1-2  –  7-8 powt., NIE do upadku!</t>
        </is>
      </c>
      <c r="P8" s="12" t="n"/>
      <c r="Q8" s="12" t="n"/>
      <c r="R8" s="12" t="n"/>
      <c r="S8">
        <f>IF(N8="","-",IF(ISNUMBER(N8),IF(N8&gt;8,"TAK – dodaj 2,5 kg","NIE – zostan z ciezarem"),"-"))</f>
        <v/>
      </c>
      <c r="T8" s="13" t="inlineStr">
        <is>
          <t>stopy szerzej niz biodra, kolana nad stopami, pelny zakres ruchu</t>
        </is>
      </c>
    </row>
    <row r="9" ht="32" customHeight="1">
      <c r="A9" t="n">
        <v>2</v>
      </c>
      <c r="B9" s="5" t="inlineStr">
        <is>
          <t>Bulgarian Split Squat [STALY]</t>
        </is>
      </c>
      <c r="C9" t="n">
        <v>3</v>
      </c>
      <c r="D9" t="inlineStr">
        <is>
          <t>8-10 / noga</t>
        </is>
      </c>
      <c r="E9" t="inlineStr">
        <is>
          <t>BW</t>
        </is>
      </c>
      <c r="F9" t="inlineStr">
        <is>
          <t>TAK – ostatnia seria do upadku</t>
        </is>
      </c>
      <c r="G9" s="6" t="inlineStr">
        <is>
          <t>BW</t>
        </is>
      </c>
      <c r="H9" s="6" t="n"/>
      <c r="I9" s="7" t="inlineStr">
        <is>
          <t>RIR 2  –  8 powt., 2 w zapasie</t>
        </is>
      </c>
      <c r="J9" s="8" t="inlineStr">
        <is>
          <t>BW</t>
        </is>
      </c>
      <c r="K9" s="8" t="n"/>
      <c r="L9" s="9" t="inlineStr">
        <is>
          <t>RIR 1  –  9-10 powt., 1 w zapasie</t>
        </is>
      </c>
      <c r="M9" s="10" t="inlineStr">
        <is>
          <t>BW</t>
        </is>
      </c>
      <c r="N9" s="10" t="n"/>
      <c r="O9" s="11" t="inlineStr">
        <is>
          <t>RIR 0  –  DO UPADKU min 10</t>
        </is>
      </c>
      <c r="P9" s="12" t="n"/>
      <c r="Q9" s="12" t="n"/>
      <c r="R9" s="12" t="n"/>
      <c r="S9">
        <f>IF(N9="","-",IF(ISNUMBER(N9),IF(N9&gt;10,"TAK – dodaj ciezar (hantle)","NIE – zostan z ciezarem"),"-"))</f>
        <v/>
      </c>
      <c r="T9" s="13" t="inlineStr">
        <is>
          <t>tylna noga na lawce, biodra w dol, kolano nad stopa przodniej nogi</t>
        </is>
      </c>
    </row>
    <row r="10" ht="32" customHeight="1">
      <c r="A10" t="n">
        <v>3</v>
      </c>
      <c r="B10" s="5" t="inlineStr">
        <is>
          <t>Hip Thrust ze sztanga [PIRAMIDA]</t>
        </is>
      </c>
      <c r="C10" t="n">
        <v>3</v>
      </c>
      <c r="D10" t="inlineStr">
        <is>
          <t>10-12</t>
        </is>
      </c>
      <c r="E10" t="inlineStr">
        <is>
          <t>40 / 50 / 60 kg</t>
        </is>
      </c>
      <c r="F10" t="inlineStr">
        <is>
          <t>TAK – ostatnia seria do upadku</t>
        </is>
      </c>
      <c r="G10" s="6" t="n">
        <v>40</v>
      </c>
      <c r="H10" s="6" t="n"/>
      <c r="I10" s="7" t="inlineStr">
        <is>
          <t>RIR 2  –  10 powt., 2 w zapasie</t>
        </is>
      </c>
      <c r="J10" s="8" t="n">
        <v>50</v>
      </c>
      <c r="K10" s="8" t="n"/>
      <c r="L10" s="9" t="inlineStr">
        <is>
          <t>RIR 1  –  11-12 powt., 1 w zapasie</t>
        </is>
      </c>
      <c r="M10" s="10" t="n">
        <v>60</v>
      </c>
      <c r="N10" s="10" t="n"/>
      <c r="O10" s="11" t="inlineStr">
        <is>
          <t>RIR 0  –  DO UPADKU min 12</t>
        </is>
      </c>
      <c r="P10" s="12" t="n"/>
      <c r="Q10" s="12" t="n"/>
      <c r="R10" s="12" t="n"/>
      <c r="S10">
        <f>IF(N10="","-",IF(ISNUMBER(N10),IF(N10&gt;12,"TAK – dodaj 2,5 kg","NIE – zostan z ciezarem"),"-"))</f>
        <v/>
      </c>
      <c r="T10" s="13" t="inlineStr">
        <is>
          <t>lopatki na lawce, pelne wypchnięcie bioder, scisniete posladki w gorze</t>
        </is>
      </c>
    </row>
    <row r="11" ht="32" customHeight="1">
      <c r="A11" t="n">
        <v>4</v>
      </c>
      <c r="B11" s="5" t="inlineStr">
        <is>
          <t>Leg Curl – uginanie nog [STALY]</t>
        </is>
      </c>
      <c r="C11" t="n">
        <v>3</v>
      </c>
      <c r="D11" t="inlineStr">
        <is>
          <t>10-12</t>
        </is>
      </c>
      <c r="E11" t="inlineStr">
        <is>
          <t>do ustalenia</t>
        </is>
      </c>
      <c r="F11" t="inlineStr">
        <is>
          <t>TAK – ostatnia seria do upadku</t>
        </is>
      </c>
      <c r="G11" s="6" t="n"/>
      <c r="H11" s="6" t="n"/>
      <c r="I11" s="7" t="inlineStr">
        <is>
          <t>RIR 2  –  10 powt., 2 w zapasie</t>
        </is>
      </c>
      <c r="J11" s="8" t="n"/>
      <c r="K11" s="8" t="n"/>
      <c r="L11" s="9" t="inlineStr">
        <is>
          <t>RIR 1  –  11-12 powt., 1 w zapasie</t>
        </is>
      </c>
      <c r="M11" s="10" t="n"/>
      <c r="N11" s="10" t="n"/>
      <c r="O11" s="11" t="inlineStr">
        <is>
          <t>RIR 0  –  DO UPADKU min 12</t>
        </is>
      </c>
      <c r="P11" s="12" t="n"/>
      <c r="Q11" s="12" t="n"/>
      <c r="R11" s="12" t="n"/>
      <c r="S11">
        <f>IF(N11="","-",IF(ISNUMBER(N11),IF(N11&gt;12,"TAK – dodaj 1 kg","NIE – zostan z ciezarem"),"-"))</f>
        <v/>
      </c>
      <c r="T11" s="13" t="inlineStr">
        <is>
          <t>kontrolowane opuszczanie, pelny zakres – nie urywaj ruchu</t>
        </is>
      </c>
    </row>
    <row r="12" ht="32" customHeight="1">
      <c r="A12" t="n">
        <v>5</v>
      </c>
      <c r="B12" s="5" t="inlineStr">
        <is>
          <t>Odwodzenie na wyciagu jednorecz [STALY]</t>
        </is>
      </c>
      <c r="C12" t="n">
        <v>3</v>
      </c>
      <c r="D12" t="inlineStr">
        <is>
          <t>12-15</t>
        </is>
      </c>
      <c r="E12" t="inlineStr">
        <is>
          <t>do ustalenia</t>
        </is>
      </c>
      <c r="F12" t="inlineStr">
        <is>
          <t>TAK – ostatnia seria do upadku</t>
        </is>
      </c>
      <c r="G12" s="6" t="n"/>
      <c r="H12" s="6" t="n"/>
      <c r="I12" s="7" t="inlineStr">
        <is>
          <t>RIR 2  –  12-13 powt., 2 w zapasie</t>
        </is>
      </c>
      <c r="J12" s="8" t="n"/>
      <c r="K12" s="8" t="n"/>
      <c r="L12" s="9" t="inlineStr">
        <is>
          <t>RIR 1  –  13-14 powt., 1 w zapasie</t>
        </is>
      </c>
      <c r="M12" s="10" t="n"/>
      <c r="N12" s="10" t="n"/>
      <c r="O12" s="11" t="inlineStr">
        <is>
          <t>RIR 0  –  DO UPADKU min 15</t>
        </is>
      </c>
      <c r="P12" s="12" t="n"/>
      <c r="Q12" s="12" t="n"/>
      <c r="R12" s="12" t="n"/>
      <c r="S12">
        <f>IF(N12="","-",IF(ISNUMBER(N12),IF(N12&gt;15,"TAK – dodaj 1 kg","NIE – zostan z ciezarem"),"-"))</f>
        <v/>
      </c>
      <c r="T12" s="13" t="inlineStr">
        <is>
          <t>lokiec lekko ugiety, kontrolowane opuszczanie, stabilne biodra</t>
        </is>
      </c>
    </row>
    <row r="13" ht="32" customHeight="1">
      <c r="A13" t="n">
        <v>6</v>
      </c>
      <c r="B13" s="5" t="inlineStr">
        <is>
          <t>Copenhagen Plank (przywodziciele)</t>
        </is>
      </c>
      <c r="C13" t="n">
        <v>2</v>
      </c>
      <c r="D13" t="inlineStr">
        <is>
          <t>10-15 sek</t>
        </is>
      </c>
      <c r="E13" t="inlineStr">
        <is>
          <t>BW</t>
        </is>
      </c>
      <c r="F13" t="inlineStr">
        <is>
          <t>NIE – izometria do wyznaczonego czasu</t>
        </is>
      </c>
      <c r="G13" s="6" t="inlineStr">
        <is>
          <t>BW</t>
        </is>
      </c>
      <c r="H13" s="6" t="n"/>
      <c r="I13" s="7" t="inlineStr">
        <is>
          <t>trzymaj pozycje 10-15 sekund</t>
        </is>
      </c>
      <c r="J13" s="8" t="inlineStr">
        <is>
          <t>BW</t>
        </is>
      </c>
      <c r="K13" s="8" t="n"/>
      <c r="L13" s="9" t="inlineStr">
        <is>
          <t>trzymaj pozycje 10-15 sekund</t>
        </is>
      </c>
      <c r="M13" s="12" t="n"/>
      <c r="N13" s="12" t="n"/>
      <c r="O13" s="12" t="n"/>
      <c r="P13" s="12" t="n"/>
      <c r="Q13" s="12" t="n"/>
      <c r="R13" s="12" t="n"/>
      <c r="S13">
        <f>IF(K13="","-",IF(ISNUMBER(K13),IF(K13&gt;15,"TAK – zwieksz czas","NIE – zostan z czasem"),"-"))</f>
        <v/>
      </c>
      <c r="T13" s="13" t="inlineStr">
        <is>
          <t>gorna noga na lawce, dolna uniesiona – utrzymaj biodra w linii</t>
        </is>
      </c>
    </row>
    <row r="14">
      <c r="A14" s="14" t="inlineStr">
        <is>
          <t>Kolory: zielony=RIR 3, niebieski=RIR 2, pomaranczowy=RIR 1, czerwony=RIR 0/upadek. Szare pola = seria nie w planie.</t>
        </is>
      </c>
    </row>
    <row r="16">
      <c r="A16" s="2" t="inlineStr">
        <is>
          <t>ROZGRZEWKA – NOGI</t>
        </is>
      </c>
    </row>
    <row r="17">
      <c r="A17" s="15" t="inlineStr">
        <is>
          <t>Faza</t>
        </is>
      </c>
      <c r="B17" s="15" t="inlineStr">
        <is>
          <t>Cwiczenie / aktywnosc</t>
        </is>
      </c>
      <c r="C17" s="15" t="inlineStr"/>
      <c r="D17" s="15" t="inlineStr"/>
      <c r="E17" s="15" t="inlineStr"/>
      <c r="F17" s="15" t="inlineStr">
        <is>
          <t>Czas</t>
        </is>
      </c>
      <c r="G17" s="15" t="inlineStr">
        <is>
          <t>Wskazowka</t>
        </is>
      </c>
    </row>
    <row r="18" ht="20" customHeight="1">
      <c r="A18" t="inlineStr">
        <is>
          <t>Ogolna</t>
        </is>
      </c>
      <c r="B18" t="inlineStr">
        <is>
          <t>Rower / orbitrek</t>
        </is>
      </c>
      <c r="C18" t="inlineStr"/>
      <c r="D18" t="inlineStr"/>
      <c r="E18" t="inlineStr"/>
      <c r="F18" t="inlineStr">
        <is>
          <t>5 min</t>
        </is>
      </c>
      <c r="G18" t="inlineStr">
        <is>
          <t>umiarkowane tempo – podniesienie tetna i temperatury miesni</t>
        </is>
      </c>
    </row>
    <row r="19" ht="20" customHeight="1">
      <c r="A19" t="inlineStr">
        <is>
          <t>Mobilnosc biodra</t>
        </is>
      </c>
      <c r="B19" t="inlineStr">
        <is>
          <t>Hip CARs – powolne krazenia (5 powt./strone)</t>
        </is>
      </c>
      <c r="C19" t="inlineStr"/>
      <c r="D19" t="inlineStr"/>
      <c r="E19" t="inlineStr"/>
      <c r="F19" t="inlineStr">
        <is>
          <t>5 min</t>
        </is>
      </c>
      <c r="G19" t="inlineStr">
        <is>
          <t>pelny zakres ruchu, kontrolowane – kluczowe dla squasha</t>
        </is>
      </c>
    </row>
    <row r="20" ht="20" customHeight="1">
      <c r="A20" t="inlineStr">
        <is>
          <t>Przed przysiadem</t>
        </is>
      </c>
      <c r="B20" t="inlineStr">
        <is>
          <t>Goblet Squat z hantlem (lekkim) x 10 powt.</t>
        </is>
      </c>
      <c r="C20" t="inlineStr"/>
      <c r="D20" t="inlineStr"/>
      <c r="E20" t="inlineStr"/>
      <c r="F20" t="inlineStr">
        <is>
          <t>-</t>
        </is>
      </c>
      <c r="G20" t="inlineStr">
        <is>
          <t>skupiasz sie na glebokosci i torze kolan</t>
        </is>
      </c>
    </row>
    <row r="21" ht="20" customHeight="1">
      <c r="A21" t="inlineStr">
        <is>
          <t>Przed przysiadem</t>
        </is>
      </c>
      <c r="B21" t="inlineStr">
        <is>
          <t>Gryf (20 kg) x 5 powt. – wolno</t>
        </is>
      </c>
      <c r="C21" t="inlineStr"/>
      <c r="D21" t="inlineStr"/>
      <c r="E21" t="inlineStr"/>
      <c r="F21" t="inlineStr">
        <is>
          <t>-</t>
        </is>
      </c>
      <c r="G21" t="inlineStr">
        <is>
          <t>czujesz ruch, sprawdzasz zakres</t>
        </is>
      </c>
    </row>
    <row r="22" ht="20" customHeight="1">
      <c r="A22" t="inlineStr">
        <is>
          <t>UWAGA</t>
        </is>
      </c>
      <c r="B22" t="inlineStr">
        <is>
          <t>NIE rozciagaj statycznie przed treningiem – oslabienie sily!</t>
        </is>
      </c>
      <c r="C22" t="inlineStr"/>
      <c r="D22" t="inlineStr"/>
      <c r="E22" t="inlineStr"/>
      <c r="F22" t="inlineStr"/>
      <c r="G22" t="inlineStr"/>
    </row>
  </sheetData>
  <mergeCells count="9">
    <mergeCell ref="A1:T1"/>
    <mergeCell ref="A5:T5"/>
    <mergeCell ref="J6:L6"/>
    <mergeCell ref="G6:I6"/>
    <mergeCell ref="A2:T2"/>
    <mergeCell ref="A16:T16"/>
    <mergeCell ref="M6:O6"/>
    <mergeCell ref="P6:R6"/>
    <mergeCell ref="A14:T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2026-06-17T14:37:10Z</dcterms:created>
  <dcterms:modified xmlns:dcterms="http://purl.org/dc/terms/" xmlns:xsi="http://www.w3.org/2001/XMLSchema-instance" xsi:type="dcterms:W3CDTF">2026-06-17T14:37:10Z</dcterms:modified>
</cp:coreProperties>
</file>