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1" autoFilterDateGrouping="1"/>
  </bookViews>
  <sheets>
    <sheet name="PUSH – Klatka · Barki · Triceps" sheetId="1" state="visible" r:id="rId1"/>
    <sheet name="PULL – Plecy · Biceps" sheetId="2" state="visible" r:id="rId2"/>
    <sheet name="NOGI – Uda · Pośladki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Calibri"/>
      <sz val="11"/>
    </font>
    <font>
      <name val="Arial"/>
      <b val="1"/>
      <color rgb="FFFFFFFF"/>
      <sz val="13"/>
    </font>
    <font>
      <name val="Calibri"/>
      <color rgb="FF000000"/>
      <sz val="11"/>
    </font>
    <font>
      <name val="Arial"/>
      <i val="1"/>
      <color rgb="FF1565C0"/>
      <sz val="9"/>
    </font>
    <font>
      <name val="Arial"/>
      <b val="1"/>
      <color rgb="FFFFFFFF"/>
      <sz val="11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rgb="FF1565C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harset val="238"/>
      <color rgb="FF000000"/>
      <sz val="9"/>
    </font>
    <font>
      <name val="Arial"/>
      <color rgb="FF1B5E20"/>
      <sz val="9"/>
    </font>
    <font>
      <name val="Arial"/>
      <color rgb="FF1565C0"/>
      <sz val="9"/>
    </font>
    <font>
      <name val="Arial"/>
      <color rgb="FFE65100"/>
      <sz val="9"/>
    </font>
    <font>
      <name val="Arial"/>
      <b val="1"/>
      <color rgb="FFC62828"/>
      <sz val="9"/>
    </font>
    <font>
      <name val="Arial"/>
      <i val="1"/>
      <color rgb="FF555555"/>
      <sz val="9"/>
    </font>
    <font>
      <name val="Arial"/>
      <color rgb="FFCCCCCC"/>
      <sz val="10"/>
    </font>
    <font>
      <name val="Arial"/>
      <color rgb="FF555555"/>
      <sz val="9"/>
    </font>
    <font>
      <name val="Arial"/>
      <i val="1"/>
      <color rgb="FF888888"/>
      <sz val="8"/>
    </font>
    <font>
      <name val="Arial"/>
      <color rgb="FF000000"/>
      <sz val="8"/>
    </font>
    <font>
      <name val="Arial"/>
      <b val="1"/>
      <color rgb="FF000000"/>
      <sz val="9"/>
    </font>
    <font>
      <name val="Arial"/>
      <b val="1"/>
      <color rgb="FF1A237E"/>
      <sz val="9"/>
    </font>
    <font>
      <name val="Arial"/>
      <i val="1"/>
      <color rgb="FF444444"/>
      <sz val="9"/>
    </font>
    <font>
      <name val="Arial"/>
      <i val="1"/>
      <color rgb="FFBF360C"/>
      <sz val="9"/>
    </font>
    <font>
      <name val="Arial"/>
      <i val="1"/>
      <color rgb="FF1B5E20"/>
      <sz val="9"/>
    </font>
    <font>
      <name val="Arial"/>
      <b val="1"/>
      <color rgb="FF1B5E20"/>
      <sz val="10"/>
    </font>
    <font>
      <name val="Arial"/>
      <color rgb="FFBF360C"/>
      <sz val="9"/>
    </font>
    <font>
      <name val="Arial"/>
      <b val="1"/>
      <color rgb="FF1B4020"/>
      <sz val="9"/>
    </font>
    <font>
      <name val="Arial"/>
      <i val="1"/>
      <color rgb="FFE65100"/>
      <sz val="9"/>
    </font>
    <font>
      <name val="Arial"/>
      <b val="1"/>
      <color rgb="FFE65100"/>
      <sz val="10"/>
    </font>
    <font>
      <name val="Arial"/>
      <b val="1"/>
      <color rgb="FFBF360C"/>
      <sz val="9"/>
    </font>
  </fonts>
  <fills count="26">
    <fill>
      <patternFill/>
    </fill>
    <fill>
      <patternFill patternType="gray125"/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rgb="FFE3F2FD"/>
      </patternFill>
    </fill>
    <fill>
      <patternFill patternType="solid">
        <fgColor rgb="FFE3F2FD"/>
        <bgColor indexed="64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F0F0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C8E6C9"/>
      </patternFill>
    </fill>
    <fill>
      <patternFill patternType="solid">
        <fgColor rgb="FFE8F5E9"/>
        <bgColor indexed="64"/>
      </patternFill>
    </fill>
    <fill>
      <patternFill patternType="solid">
        <fgColor rgb="FF1B4020"/>
      </patternFill>
    </fill>
    <fill>
      <patternFill patternType="solid">
        <fgColor rgb="FFF1F8E9"/>
      </patternFill>
    </fill>
    <fill>
      <patternFill patternType="solid">
        <fgColor rgb="FFE65100"/>
      </patternFill>
    </fill>
    <fill>
      <patternFill patternType="solid">
        <fgColor rgb="FFFFE0B2"/>
      </patternFill>
    </fill>
    <fill>
      <patternFill patternType="solid">
        <fgColor rgb="FFFFF3E0"/>
        <bgColor indexed="64"/>
      </patternFill>
    </fill>
    <fill>
      <patternFill patternType="solid">
        <fgColor rgb="FFBF360C"/>
      </patternFill>
    </fill>
    <fill>
      <patternFill patternType="solid">
        <fgColor rgb="FFFBE9E7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 applyAlignment="1">
      <alignment vertical="center"/>
    </xf>
  </cellStyleXfs>
  <cellXfs count="102">
    <xf numFmtId="0" fontId="0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/>
    </xf>
    <xf numFmtId="0" fontId="20" fillId="14" borderId="1" applyAlignment="1" pivotButton="0" quotePrefix="0" xfId="0">
      <alignment horizontal="center" vertical="center" wrapText="1"/>
    </xf>
    <xf numFmtId="0" fontId="2" fillId="14" borderId="1" pivotButton="0" quotePrefix="0" xfId="0"/>
    <xf numFmtId="0" fontId="22" fillId="14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 wrapText="1"/>
    </xf>
    <xf numFmtId="0" fontId="2" fillId="9" borderId="1" pivotButton="0" quotePrefix="0" xfId="0"/>
    <xf numFmtId="0" fontId="22" fillId="9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1" fillId="18" borderId="2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26" fillId="9" borderId="1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/>
    </xf>
    <xf numFmtId="0" fontId="20" fillId="20" borderId="1" applyAlignment="1" pivotButton="0" quotePrefix="0" xfId="0">
      <alignment horizontal="center" vertical="center" wrapText="1"/>
    </xf>
    <xf numFmtId="0" fontId="2" fillId="20" borderId="1" pivotButton="0" quotePrefix="0" xfId="0"/>
    <xf numFmtId="0" fontId="28" fillId="20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center" vertical="center"/>
    </xf>
    <xf numFmtId="0" fontId="11" fillId="23" borderId="2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left" vertical="center" wrapText="1"/>
    </xf>
    <xf numFmtId="0" fontId="30" fillId="9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left" vertical="center" wrapText="1"/>
    </xf>
    <xf numFmtId="0" fontId="7" fillId="24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left" vertical="center"/>
    </xf>
    <xf numFmtId="0" fontId="20" fillId="25" borderId="1" applyAlignment="1" pivotButton="0" quotePrefix="0" xfId="0">
      <alignment horizontal="center" vertical="center" wrapText="1"/>
    </xf>
    <xf numFmtId="0" fontId="2" fillId="25" borderId="1" pivotButton="0" quotePrefix="0" xfId="0"/>
    <xf numFmtId="0" fontId="31" fillId="25" borderId="1" applyAlignment="1" pivotButton="0" quotePrefix="0" xfId="0">
      <alignment horizontal="center" vertical="center"/>
    </xf>
    <xf numFmtId="0" fontId="31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left" vertical="center"/>
    </xf>
    <xf numFmtId="0" fontId="2" fillId="9" borderId="1" pivotButton="0" quotePrefix="0" xfId="0"/>
    <xf numFmtId="0" fontId="6" fillId="16" borderId="1" applyAlignment="1" pivotButton="0" quotePrefix="0" xfId="0">
      <alignment horizontal="center" vertical="center"/>
    </xf>
    <xf numFmtId="0" fontId="2" fillId="16" borderId="1" pivotButton="0" quotePrefix="0" xfId="0"/>
    <xf numFmtId="0" fontId="23" fillId="20" borderId="1" applyAlignment="1" pivotButton="0" quotePrefix="0" xfId="0">
      <alignment horizontal="left" vertical="center"/>
    </xf>
    <xf numFmtId="0" fontId="2" fillId="20" borderId="1" pivotButton="0" quotePrefix="0" xfId="0"/>
    <xf numFmtId="0" fontId="4" fillId="19" borderId="0" applyAlignment="1" pivotButton="0" quotePrefix="0" xfId="0">
      <alignment horizontal="left" vertical="center"/>
    </xf>
    <xf numFmtId="0" fontId="2" fillId="0" borderId="0" pivotButton="0" quotePrefix="0" xfId="0"/>
    <xf numFmtId="0" fontId="19" fillId="12" borderId="0" applyAlignment="1" pivotButton="0" quotePrefix="0" xfId="0">
      <alignment horizontal="left" vertical="center"/>
    </xf>
    <xf numFmtId="0" fontId="24" fillId="15" borderId="0" applyAlignment="1" pivotButton="0" quotePrefix="0" xfId="0">
      <alignment horizontal="left" vertical="center"/>
    </xf>
    <xf numFmtId="0" fontId="23" fillId="9" borderId="1" applyAlignment="1" pivotButton="0" quotePrefix="0" xfId="0">
      <alignment horizontal="left" vertical="center"/>
    </xf>
    <xf numFmtId="0" fontId="1" fillId="16" borderId="0" applyAlignment="1" pivotButton="0" quotePrefix="0" xfId="0">
      <alignment horizontal="center" vertical="center"/>
    </xf>
    <xf numFmtId="0" fontId="25" fillId="17" borderId="0" applyAlignment="1" pivotButton="0" quotePrefix="0" xfId="0">
      <alignment horizontal="left" vertical="center"/>
    </xf>
    <xf numFmtId="0" fontId="7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/>
    </xf>
    <xf numFmtId="0" fontId="4" fillId="16" borderId="0" applyAlignment="1" pivotButton="0" quotePrefix="0" xfId="0">
      <alignment horizontal="left" vertical="center"/>
    </xf>
    <xf numFmtId="0" fontId="21" fillId="20" borderId="1" applyAlignment="1" pivotButton="0" quotePrefix="0" xfId="0">
      <alignment horizontal="left" vertical="center"/>
    </xf>
    <xf numFmtId="0" fontId="21" fillId="14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2" fillId="2" borderId="1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left" vertical="center"/>
    </xf>
    <xf numFmtId="0" fontId="23" fillId="14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/>
    </xf>
    <xf numFmtId="0" fontId="21" fillId="25" borderId="1" applyAlignment="1" pivotButton="0" quotePrefix="0" xfId="0">
      <alignment horizontal="left" vertical="center"/>
    </xf>
    <xf numFmtId="0" fontId="2" fillId="25" borderId="1" pivotButton="0" quotePrefix="0" xfId="0"/>
    <xf numFmtId="0" fontId="7" fillId="24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left" vertical="center"/>
    </xf>
    <xf numFmtId="0" fontId="1" fillId="21" borderId="0" applyAlignment="1" pivotButton="0" quotePrefix="0" xfId="0">
      <alignment horizontal="center" vertical="center"/>
    </xf>
    <xf numFmtId="0" fontId="29" fillId="22" borderId="0" applyAlignment="1" pivotButton="0" quotePrefix="0" xfId="0">
      <alignment horizontal="left" vertical="center"/>
    </xf>
    <xf numFmtId="0" fontId="6" fillId="21" borderId="1" applyAlignment="1" pivotButton="0" quotePrefix="0" xfId="0">
      <alignment horizontal="center" vertical="center"/>
    </xf>
    <xf numFmtId="0" fontId="2" fillId="21" borderId="1" pivotButton="0" quotePrefix="0" xfId="0"/>
    <xf numFmtId="0" fontId="23" fillId="25" borderId="1" applyAlignment="1" pivotButton="0" quotePrefix="0" xfId="0">
      <alignment horizontal="left" vertical="center"/>
    </xf>
    <xf numFmtId="0" fontId="4" fillId="21" borderId="0" applyAlignment="1" pivotButton="0" quotePrefix="0" xfId="0">
      <alignment horizontal="left" vertical="center"/>
    </xf>
    <xf numFmtId="0" fontId="4" fillId="24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E12" sqref="E12"/>
    </sheetView>
  </sheetViews>
  <sheetFormatPr baseColWidth="8" defaultColWidth="10" defaultRowHeight="15"/>
  <cols>
    <col width="15.5703125" bestFit="1" customWidth="1" style="99" min="1" max="1"/>
    <col width="33.85546875" bestFit="1" customWidth="1" style="99" min="2" max="2"/>
    <col width="5.85546875" bestFit="1" customWidth="1" style="99" min="3" max="3"/>
    <col width="6.7109375" bestFit="1" customWidth="1" style="99" min="4" max="4"/>
    <col width="22.140625" bestFit="1" customWidth="1" style="99" min="5" max="5"/>
    <col width="13.85546875" bestFit="1" customWidth="1" style="99" min="6" max="6"/>
    <col width="6.140625" bestFit="1" customWidth="1" style="99" min="7" max="7"/>
    <col width="5.5703125" bestFit="1" customWidth="1" style="99" min="8" max="8"/>
    <col width="20" customWidth="1" style="99" min="9" max="9"/>
    <col width="6.140625" bestFit="1" customWidth="1" style="99" min="10" max="10"/>
    <col width="5.5703125" bestFit="1" customWidth="1" style="99" min="11" max="11"/>
    <col width="20" customWidth="1" style="99" min="12" max="12"/>
    <col width="6.140625" bestFit="1" customWidth="1" style="99" min="13" max="13"/>
    <col width="5.5703125" bestFit="1" customWidth="1" style="99" min="14" max="14"/>
    <col width="20" customWidth="1" style="99" min="15" max="15"/>
    <col width="6.140625" bestFit="1" customWidth="1" style="99" min="16" max="16"/>
    <col width="5.5703125" bestFit="1" customWidth="1" style="99" min="17" max="17"/>
    <col width="17.85546875" bestFit="1" customWidth="1" style="99" min="18" max="18"/>
    <col width="15.7109375" bestFit="1" customWidth="1" style="99" min="19" max="19"/>
    <col width="28.140625" bestFit="1" customWidth="1" style="99" min="20" max="20"/>
  </cols>
  <sheetData>
    <row r="1" ht="27.95" customHeight="1" s="99">
      <c r="A1" s="79" t="inlineStr">
        <is>
          <t>PUSH – Klatka · Barki · Triceps</t>
        </is>
      </c>
    </row>
    <row r="2" ht="18" customHeight="1" s="99">
      <c r="A2" s="82" t="inlineStr">
        <is>
          <t>Progresja: gdy ostatnia seria (do upadku) przekracza górny pułap zakresu → następny trening dodaj 2,5 kg</t>
        </is>
      </c>
    </row>
    <row r="3" ht="8.1" customHeight="1" s="99"/>
    <row r="4" ht="8.1" customHeight="1" s="99"/>
    <row r="5" ht="20.1" customHeight="1" s="99">
      <c r="A5" s="83" t="inlineStr">
        <is>
          <t>TRENING WŁAŚCIWY</t>
        </is>
      </c>
    </row>
    <row r="6" ht="15.95" customHeight="1" s="99">
      <c r="A6" s="1" t="n"/>
      <c r="B6" s="1" t="n"/>
      <c r="C6" s="1" t="n"/>
      <c r="D6" s="1" t="n"/>
      <c r="E6" s="1" t="n"/>
      <c r="F6" s="1" t="n"/>
      <c r="G6" s="80" t="inlineStr">
        <is>
          <t>SERIA 1</t>
        </is>
      </c>
      <c r="H6" s="100" t="n"/>
      <c r="I6" s="101" t="n"/>
      <c r="J6" s="80" t="inlineStr">
        <is>
          <t>SERIA 2</t>
        </is>
      </c>
      <c r="K6" s="100" t="n"/>
      <c r="L6" s="101" t="n"/>
      <c r="M6" s="80" t="inlineStr">
        <is>
          <t>SERIA 3</t>
        </is>
      </c>
      <c r="N6" s="100" t="n"/>
      <c r="O6" s="101" t="n"/>
      <c r="P6" s="80" t="inlineStr">
        <is>
          <t>SERIA 4</t>
        </is>
      </c>
      <c r="Q6" s="100" t="n"/>
      <c r="R6" s="101" t="n"/>
      <c r="S6" s="1" t="n"/>
      <c r="T6" s="1" t="n"/>
    </row>
    <row r="7" ht="38.1" customHeight="1" s="99">
      <c r="A7" s="2" t="inlineStr">
        <is>
          <t>#</t>
        </is>
      </c>
      <c r="B7" s="2" t="inlineStr">
        <is>
          <t>Ćwiczenie</t>
        </is>
      </c>
      <c r="C7" s="2" t="inlineStr">
        <is>
          <t>Serie
w planie</t>
        </is>
      </c>
      <c r="D7" s="2" t="inlineStr">
        <is>
          <t>Zakres
powt.</t>
        </is>
      </c>
      <c r="E7" s="2" t="inlineStr">
        <is>
          <t>Ciężar startowy</t>
        </is>
      </c>
      <c r="F7" s="2" t="inlineStr">
        <is>
          <t>Ostatnia seria
do upadku?</t>
        </is>
      </c>
      <c r="G7" s="2" t="inlineStr">
        <is>
          <t>Ciężar
(kg)</t>
        </is>
      </c>
      <c r="H7" s="2" t="inlineStr">
        <is>
          <t>Powt.</t>
        </is>
      </c>
      <c r="I7" s="2" t="inlineStr">
        <is>
          <t>RIR cel
+ wskazówka</t>
        </is>
      </c>
      <c r="J7" s="2" t="inlineStr">
        <is>
          <t>Ciężar
(kg)</t>
        </is>
      </c>
      <c r="K7" s="2" t="inlineStr">
        <is>
          <t>Powt.</t>
        </is>
      </c>
      <c r="L7" s="2" t="inlineStr">
        <is>
          <t>RIR cel
+ wskazówka</t>
        </is>
      </c>
      <c r="M7" s="2" t="inlineStr">
        <is>
          <t>Ciężar
(kg)</t>
        </is>
      </c>
      <c r="N7" s="2" t="inlineStr">
        <is>
          <t>Powt.</t>
        </is>
      </c>
      <c r="O7" s="2" t="inlineStr">
        <is>
          <t>RIR cel
+ wskazówka</t>
        </is>
      </c>
      <c r="P7" s="2" t="inlineStr">
        <is>
          <t>Ciężar
(kg)</t>
        </is>
      </c>
      <c r="Q7" s="2" t="inlineStr">
        <is>
          <t>Powt.</t>
        </is>
      </c>
      <c r="R7" s="2" t="inlineStr">
        <is>
          <t>RIR cel
+ wskazówka</t>
        </is>
      </c>
      <c r="S7" s="2" t="inlineStr">
        <is>
          <t>Dodać ciężar
następny trening?</t>
        </is>
      </c>
      <c r="T7" s="2" t="inlineStr">
        <is>
          <t>Wskazówki techniczne</t>
        </is>
      </c>
    </row>
    <row r="8" ht="36" customHeight="1" s="99">
      <c r="A8" s="3" t="n">
        <v>1</v>
      </c>
      <c r="B8" s="4" t="inlineStr">
        <is>
          <t>Wyciskanie sztangi – płaska</t>
        </is>
      </c>
      <c r="C8" s="5" t="n">
        <v>4</v>
      </c>
      <c r="D8" s="5" t="inlineStr">
        <is>
          <t>6–8</t>
        </is>
      </c>
      <c r="E8" s="6" t="n">
        <v>60</v>
      </c>
      <c r="F8" s="7" t="inlineStr">
        <is>
          <t>TAK – ostatnia seria do upadku</t>
        </is>
      </c>
      <c r="G8" s="5" t="n"/>
      <c r="H8" s="5" t="n"/>
      <c r="I8" s="8" t="inlineStr">
        <is>
          <t>RIR 3  –  8 powt., 3 w zapasie</t>
        </is>
      </c>
      <c r="J8" s="5" t="n"/>
      <c r="K8" s="5" t="n"/>
      <c r="L8" s="9" t="inlineStr">
        <is>
          <t>RIR 2  –  7–8 powt., 2 w zapasie</t>
        </is>
      </c>
      <c r="M8" s="5" t="n"/>
      <c r="N8" s="5" t="n"/>
      <c r="O8" s="10" t="inlineStr">
        <is>
          <t>RIR 1  –  6–7 powt., 1 w zapasie</t>
        </is>
      </c>
      <c r="P8" s="5" t="n"/>
      <c r="Q8" s="5" t="n"/>
      <c r="R8" s="11" t="inlineStr">
        <is>
          <t>RIR 0  –  DO UPADKU</t>
        </is>
      </c>
      <c r="S8" s="5">
        <f>IF(Q8="","–",IF(ISNUMBER(Q8),IF(Q8&gt;8,"✓ TAK – dodaj 2,5 kg","✗ NIE – zostań z ciężarem"),"–"))</f>
        <v/>
      </c>
      <c r="T8" s="12" t="inlineStr">
        <is>
          <t>piramida – każda seria ciężej</t>
        </is>
      </c>
    </row>
    <row r="9" ht="36" customHeight="1" s="99">
      <c r="A9" s="13" t="n">
        <v>2</v>
      </c>
      <c r="B9" s="14" t="inlineStr">
        <is>
          <t>Wyciskanie hantlami – skośna +30°</t>
        </is>
      </c>
      <c r="C9" s="15" t="n">
        <v>3</v>
      </c>
      <c r="D9" s="15" t="inlineStr">
        <is>
          <t>8–10</t>
        </is>
      </c>
      <c r="E9" s="16" t="inlineStr">
        <is>
          <t>2 × 24 kg</t>
        </is>
      </c>
      <c r="F9" s="7" t="inlineStr">
        <is>
          <t>TAK – ostatnia seria do upadku</t>
        </is>
      </c>
      <c r="G9" s="15" t="n"/>
      <c r="H9" s="15" t="n"/>
      <c r="I9" s="9" t="inlineStr">
        <is>
          <t>RIR 2  –  10 powt., 2 w zapasie</t>
        </is>
      </c>
      <c r="J9" s="15" t="n"/>
      <c r="K9" s="15" t="n"/>
      <c r="L9" s="10" t="inlineStr">
        <is>
          <t>RIR 1  –  9–10 powt., 1 w zapasie</t>
        </is>
      </c>
      <c r="M9" s="15" t="n"/>
      <c r="N9" s="15" t="n"/>
      <c r="O9" s="11" t="inlineStr">
        <is>
          <t>RIR 0  –  DO UPADKU</t>
        </is>
      </c>
      <c r="P9" s="17" t="n"/>
      <c r="Q9" s="17" t="n"/>
      <c r="R9" s="17" t="n"/>
      <c r="S9" s="15">
        <f>IF(N9="","–",IF(ISNUMBER(N9),IF(N9&gt;10,"✓ TAK – dodaj 2,5 kg","✗ NIE – zostań z ciężarem"),"–"))</f>
        <v/>
      </c>
      <c r="T9" s="18" t="inlineStr">
        <is>
          <t>3 s opuszczanie przez całą serię</t>
        </is>
      </c>
    </row>
    <row r="10" ht="36" customHeight="1" s="99">
      <c r="A10" s="3" t="n">
        <v>3</v>
      </c>
      <c r="B10" s="4" t="inlineStr">
        <is>
          <t>OHP sztangą</t>
        </is>
      </c>
      <c r="C10" s="5" t="n">
        <v>4</v>
      </c>
      <c r="D10" s="5" t="inlineStr">
        <is>
          <t>6–10</t>
        </is>
      </c>
      <c r="E10" s="6" t="inlineStr">
        <is>
          <t>30 kg</t>
        </is>
      </c>
      <c r="F10" s="7" t="inlineStr">
        <is>
          <t>TAK – ostatnia seria do upadku</t>
        </is>
      </c>
      <c r="G10" s="5" t="n"/>
      <c r="H10" s="5" t="n"/>
      <c r="I10" s="8" t="inlineStr">
        <is>
          <t>RIR 3  –  7–8 powt., 3 w zapasie</t>
        </is>
      </c>
      <c r="J10" s="5" t="n"/>
      <c r="K10" s="5" t="n"/>
      <c r="L10" s="9" t="inlineStr">
        <is>
          <t>RIR 2  –  8–9 powt., 2 w zapasie</t>
        </is>
      </c>
      <c r="M10" s="5" t="n"/>
      <c r="N10" s="5" t="n"/>
      <c r="O10" s="10" t="inlineStr">
        <is>
          <t>RIR 1  –  9–10 powt., 1 w zapasie</t>
        </is>
      </c>
      <c r="P10" s="5" t="n"/>
      <c r="Q10" s="5" t="n"/>
      <c r="R10" s="11" t="inlineStr">
        <is>
          <t>RIR 0  –  DO UPADKU</t>
        </is>
      </c>
      <c r="S10" s="5">
        <f>IF(Q10="","–",IF(ISNUMBER(Q10),IF(Q10&gt;10,"✓ TAK – dodaj 2,5 kg","✗ NIE – zostań z ciężarem"),"–"))</f>
        <v/>
      </c>
      <c r="T10" s="19" t="n"/>
    </row>
    <row r="11" ht="36" customHeight="1" s="99">
      <c r="A11" s="13" t="n">
        <v>4</v>
      </c>
      <c r="B11" s="14" t="inlineStr">
        <is>
          <t>Odwodzenie na wyciągu jednorącz</t>
        </is>
      </c>
      <c r="C11" s="15" t="n">
        <v>3</v>
      </c>
      <c r="D11" s="15" t="inlineStr">
        <is>
          <t>12–15</t>
        </is>
      </c>
      <c r="E11" s="16" t="inlineStr">
        <is>
          <t>8–10 kg</t>
        </is>
      </c>
      <c r="F11" s="7" t="inlineStr">
        <is>
          <t>TAK – ostatnia seria do upadku</t>
        </is>
      </c>
      <c r="G11" s="15" t="n"/>
      <c r="H11" s="15" t="n"/>
      <c r="I11" s="9" t="inlineStr">
        <is>
          <t>RIR 2  –  12–13 powt., 2 w zapasie</t>
        </is>
      </c>
      <c r="J11" s="15" t="n"/>
      <c r="K11" s="15" t="n"/>
      <c r="L11" s="10" t="inlineStr">
        <is>
          <t>RIR 1  –  13–14 powt., 1 w zapasie</t>
        </is>
      </c>
      <c r="M11" s="15" t="n"/>
      <c r="N11" s="15" t="n"/>
      <c r="O11" s="11" t="inlineStr">
        <is>
          <t>RIR 0  –  DO UPADKU</t>
        </is>
      </c>
      <c r="P11" s="17" t="n"/>
      <c r="Q11" s="17" t="n"/>
      <c r="R11" s="17" t="n"/>
      <c r="S11" s="15">
        <f>IF(N11="","–",IF(ISNUMBER(N11),IF(N11&gt;15,"✓ TAK – dodaj 2,5 kg","✗ NIE – zostań z ciężarem"),"–"))</f>
        <v/>
      </c>
      <c r="T11" s="18" t="inlineStr">
        <is>
          <t>łokieć lekko ugięty, kontrolowane opuszczanie</t>
        </is>
      </c>
    </row>
    <row r="12" ht="36" customHeight="1" s="99">
      <c r="A12" s="3" t="n">
        <v>5</v>
      </c>
      <c r="B12" s="4" t="inlineStr">
        <is>
          <t>Dipy – nacisk na triceps</t>
        </is>
      </c>
      <c r="C12" s="5" t="n">
        <v>4</v>
      </c>
      <c r="D12" s="5" t="inlineStr">
        <is>
          <t>8–12</t>
        </is>
      </c>
      <c r="E12" s="6" t="inlineStr">
        <is>
          <t>BW → pas +5 kg gdy łatwe</t>
        </is>
      </c>
      <c r="F12" s="7" t="inlineStr">
        <is>
          <t>TAK – ostatnia seria do upadku</t>
        </is>
      </c>
      <c r="G12" s="5" t="n"/>
      <c r="H12" s="5" t="n"/>
      <c r="I12" s="8" t="inlineStr">
        <is>
          <t>RIR 3  –  9 powt., 3 w zapasie</t>
        </is>
      </c>
      <c r="J12" s="5" t="n"/>
      <c r="K12" s="5" t="n"/>
      <c r="L12" s="9" t="inlineStr">
        <is>
          <t>RIR 2  –  10 powt., 2 w zapasie</t>
        </is>
      </c>
      <c r="M12" s="5" t="n"/>
      <c r="N12" s="5" t="n"/>
      <c r="O12" s="10" t="inlineStr">
        <is>
          <t>RIR 1  –  11 powt., 1 w zapasie</t>
        </is>
      </c>
      <c r="P12" s="5" t="n"/>
      <c r="Q12" s="5" t="n"/>
      <c r="R12" s="11" t="inlineStr">
        <is>
          <t>RIR 0  –  DO UPADKU</t>
        </is>
      </c>
      <c r="S12" s="5">
        <f>IF(Q12="","–",IF(ISNUMBER(Q12),IF(Q12&gt;12,"✓ TAK – dodaj 2,5 kg","✗ NIE – zostań z ciężarem"),"–"))</f>
        <v/>
      </c>
      <c r="T12" s="12" t="inlineStr">
        <is>
          <t>tułów pionowo, łokcie blisko ciała</t>
        </is>
      </c>
    </row>
    <row r="13" ht="15.95" customHeight="1" s="99">
      <c r="A13" s="68" t="inlineStr">
        <is>
          <t>Kolory RIR: zielony=RIR 3, niebieski=RIR 2, pomarańczowy=RIR 1, czerwony=RIR 0/upadek. Szare pola = seria nie w planie.</t>
        </is>
      </c>
    </row>
    <row r="15" ht="21.95" customHeight="1" s="99">
      <c r="A15" s="84" t="inlineStr">
        <is>
          <t>ROZGRZEWKA – PUSH</t>
        </is>
      </c>
    </row>
    <row r="16" ht="27.95" customHeight="1" s="99">
      <c r="A16" s="86" t="inlineStr">
        <is>
          <t>Faza</t>
        </is>
      </c>
      <c r="B16" s="86" t="inlineStr">
        <is>
          <t>Ćwiczenie / aktywność</t>
        </is>
      </c>
      <c r="C16" s="100" t="n"/>
      <c r="D16" s="100" t="n"/>
      <c r="E16" s="101" t="n"/>
      <c r="F16" s="86" t="inlineStr">
        <is>
          <t>Czas</t>
        </is>
      </c>
      <c r="G16" s="86" t="inlineStr">
        <is>
          <t>Wskazówka</t>
        </is>
      </c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1" t="n"/>
      <c r="T16" s="87" t="n"/>
    </row>
    <row r="17" ht="24" customHeight="1" s="99">
      <c r="A17" s="22" t="inlineStr">
        <is>
          <t>🔵 Ogólna</t>
        </is>
      </c>
      <c r="B17" s="77" t="inlineStr">
        <is>
          <t>Rower / orbitrek</t>
        </is>
      </c>
      <c r="C17" s="100" t="n"/>
      <c r="D17" s="100" t="n"/>
      <c r="E17" s="101" t="n"/>
      <c r="F17" s="24" t="inlineStr">
        <is>
          <t>5 min</t>
        </is>
      </c>
      <c r="G17" s="85" t="inlineStr">
        <is>
          <t>umiarkowane tempo – podniesienie tętna i temperatury mięśni</t>
        </is>
      </c>
      <c r="H17" s="100" t="n"/>
      <c r="I17" s="100" t="n"/>
      <c r="J17" s="100" t="n"/>
      <c r="K17" s="100" t="n"/>
      <c r="L17" s="100" t="n"/>
      <c r="M17" s="100" t="n"/>
      <c r="N17" s="100" t="n"/>
      <c r="O17" s="100" t="n"/>
      <c r="P17" s="100" t="n"/>
      <c r="Q17" s="100" t="n"/>
      <c r="R17" s="100" t="n"/>
      <c r="S17" s="101" t="n"/>
      <c r="T17" s="78" t="n"/>
    </row>
    <row r="18" ht="24" customHeight="1" s="99">
      <c r="A18" s="25" t="inlineStr">
        <is>
          <t>🔵 Ogólna</t>
        </is>
      </c>
      <c r="B18" s="60" t="inlineStr">
        <is>
          <t>Krążenia ramion + rotacje tułowia + 10 pompek BW</t>
        </is>
      </c>
      <c r="C18" s="100" t="n"/>
      <c r="D18" s="100" t="n"/>
      <c r="E18" s="101" t="n"/>
      <c r="F18" s="27" t="inlineStr">
        <is>
          <t>2–3 min</t>
        </is>
      </c>
      <c r="G18" s="70" t="inlineStr">
        <is>
          <t>dynamicznie, bez zatrzymywania</t>
        </is>
      </c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1" t="n"/>
      <c r="T18" s="61" t="n"/>
    </row>
    <row r="19" ht="24" customHeight="1" s="99">
      <c r="A19" s="22" t="inlineStr">
        <is>
          <t>🟠 Przed wyciskaniem sztangi</t>
        </is>
      </c>
      <c r="B19" s="77" t="inlineStr">
        <is>
          <t>Tylko gryf (20 kg) × 10 powt.</t>
        </is>
      </c>
      <c r="C19" s="100" t="n"/>
      <c r="D19" s="100" t="n"/>
      <c r="E19" s="101" t="n"/>
      <c r="F19" s="24" t="inlineStr">
        <is>
          <t>–</t>
        </is>
      </c>
      <c r="G19" s="85" t="inlineStr">
        <is>
          <t>skupiasz się na torze ruchu</t>
        </is>
      </c>
      <c r="H19" s="100" t="n"/>
      <c r="I19" s="100" t="n"/>
      <c r="J19" s="100" t="n"/>
      <c r="K19" s="100" t="n"/>
      <c r="L19" s="100" t="n"/>
      <c r="M19" s="100" t="n"/>
      <c r="N19" s="100" t="n"/>
      <c r="O19" s="100" t="n"/>
      <c r="P19" s="100" t="n"/>
      <c r="Q19" s="100" t="n"/>
      <c r="R19" s="100" t="n"/>
      <c r="S19" s="101" t="n"/>
      <c r="T19" s="78" t="n"/>
    </row>
    <row r="20" ht="24" customHeight="1" s="99">
      <c r="A20" s="25" t="inlineStr">
        <is>
          <t>🟠 Przed wyciskaniem sztangi</t>
        </is>
      </c>
      <c r="B20" s="60" t="inlineStr">
        <is>
          <t>50 kg × 5 powt.</t>
        </is>
      </c>
      <c r="C20" s="100" t="n"/>
      <c r="D20" s="100" t="n"/>
      <c r="E20" s="101" t="n"/>
      <c r="F20" s="27" t="inlineStr">
        <is>
          <t>–</t>
        </is>
      </c>
      <c r="G20" s="70" t="inlineStr">
        <is>
          <t>czujesz ciężar, dużo w zapasie</t>
        </is>
      </c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1" t="n"/>
      <c r="T20" s="61" t="n"/>
    </row>
    <row r="21" ht="24" customHeight="1" s="99">
      <c r="A21" s="22" t="inlineStr">
        <is>
          <t>🟠 Przed OHP</t>
        </is>
      </c>
      <c r="B21" s="77" t="inlineStr">
        <is>
          <t>15–20 kg × 8 powt.</t>
        </is>
      </c>
      <c r="C21" s="100" t="n"/>
      <c r="D21" s="100" t="n"/>
      <c r="E21" s="101" t="n"/>
      <c r="F21" s="24" t="inlineStr">
        <is>
          <t>–</t>
        </is>
      </c>
      <c r="G21" s="85" t="inlineStr">
        <is>
          <t>barki nagrzane po klatce – wystarczy 1 seria</t>
        </is>
      </c>
      <c r="H21" s="100" t="n"/>
      <c r="I21" s="100" t="n"/>
      <c r="J21" s="100" t="n"/>
      <c r="K21" s="100" t="n"/>
      <c r="L21" s="100" t="n"/>
      <c r="M21" s="100" t="n"/>
      <c r="N21" s="100" t="n"/>
      <c r="O21" s="100" t="n"/>
      <c r="P21" s="100" t="n"/>
      <c r="Q21" s="100" t="n"/>
      <c r="R21" s="100" t="n"/>
      <c r="S21" s="101" t="n"/>
      <c r="T21" s="78" t="n"/>
    </row>
    <row r="22" ht="18" customHeight="1" s="99">
      <c r="A22" s="69" t="inlineStr">
        <is>
          <t>⚠  NIE rozciągaj statycznie przed treningiem – osłabia siłę. Tylko dynamiczne rozgrzewanie.</t>
        </is>
      </c>
    </row>
  </sheetData>
  <mergeCells count="22">
    <mergeCell ref="J6:L6"/>
    <mergeCell ref="G6:I6"/>
    <mergeCell ref="A15:T15"/>
    <mergeCell ref="G20:S20"/>
    <mergeCell ref="P6:R6"/>
    <mergeCell ref="B20:E20"/>
    <mergeCell ref="M6:O6"/>
    <mergeCell ref="G16:S16"/>
    <mergeCell ref="A1:T1"/>
    <mergeCell ref="B16:E16"/>
    <mergeCell ref="G21:S21"/>
    <mergeCell ref="B18:E18"/>
    <mergeCell ref="G17:S17"/>
    <mergeCell ref="B21:E21"/>
    <mergeCell ref="A2:T2"/>
    <mergeCell ref="G19:S19"/>
    <mergeCell ref="A5:T5"/>
    <mergeCell ref="B17:E17"/>
    <mergeCell ref="A22:T22"/>
    <mergeCell ref="G18:S18"/>
    <mergeCell ref="B19:E19"/>
    <mergeCell ref="A13:T13"/>
  </mergeCells>
  <pageMargins left="0.75" right="0.75" top="1" bottom="1" header="0.5" footer="0.5"/>
  <headerFooter>
    <oddHeader/>
    <oddFooter>&amp;C&amp;"Aptos"&amp;10 &amp;K000000_x000d_# DSV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"/>
  <sheetViews>
    <sheetView tabSelected="1" topLeftCell="A5" workbookViewId="0">
      <selection activeCell="O13" sqref="O13"/>
    </sheetView>
  </sheetViews>
  <sheetFormatPr baseColWidth="8" defaultColWidth="10" defaultRowHeight="15"/>
  <cols>
    <col width="13.140625" bestFit="1" customWidth="1" style="99" min="1" max="1"/>
    <col width="24" bestFit="1" customWidth="1" style="99" min="2" max="2"/>
    <col width="5.85546875" bestFit="1" customWidth="1" style="99" min="3" max="3"/>
    <col width="6.7109375" bestFit="1" customWidth="1" style="99" min="4" max="4"/>
    <col width="13.85546875" bestFit="1" customWidth="1" style="99" min="5" max="6"/>
    <col width="6.140625" bestFit="1" customWidth="1" style="99" min="7" max="7"/>
    <col width="5.5703125" bestFit="1" customWidth="1" style="99" min="8" max="8"/>
    <col width="19" bestFit="1" customWidth="1" style="99" min="9" max="9"/>
    <col width="6.140625" bestFit="1" customWidth="1" style="99" min="10" max="10"/>
    <col width="5.5703125" bestFit="1" customWidth="1" style="99" min="11" max="11"/>
    <col width="19" bestFit="1" customWidth="1" style="99" min="12" max="12"/>
    <col width="6.140625" bestFit="1" customWidth="1" style="99" min="13" max="13"/>
    <col width="5.5703125" bestFit="1" customWidth="1" style="99" min="14" max="14"/>
    <col width="20" customWidth="1" style="99" min="15" max="15"/>
    <col width="6.140625" bestFit="1" customWidth="1" style="99" min="16" max="16"/>
    <col width="5.5703125" bestFit="1" customWidth="1" style="99" min="17" max="17"/>
    <col width="18" bestFit="1" customWidth="1" style="99" min="18" max="18"/>
    <col width="15.7109375" bestFit="1" customWidth="1" style="99" min="19" max="19"/>
    <col width="22.7109375" bestFit="1" customWidth="1" style="99" min="20" max="20"/>
  </cols>
  <sheetData>
    <row r="1" ht="27.95" customHeight="1" s="99">
      <c r="A1" s="71" t="inlineStr">
        <is>
          <t>PULL – Plecy · Biceps</t>
        </is>
      </c>
    </row>
    <row r="2" ht="18" customHeight="1" s="99">
      <c r="A2" s="72" t="inlineStr">
        <is>
          <t>Progresja: gdy ostatnia seria (do upadku) przekracza górny pułap zakresu → następny trening dodaj 2,5 kg</t>
        </is>
      </c>
    </row>
    <row r="3" ht="8.1" customHeight="1" s="99"/>
    <row r="4" ht="8.1" customHeight="1" s="99"/>
    <row r="5" ht="20.1" customHeight="1" s="99">
      <c r="A5" s="75" t="inlineStr">
        <is>
          <t>TRENING WŁAŚCIWY</t>
        </is>
      </c>
    </row>
    <row r="6" ht="15.95" customHeight="1" s="99">
      <c r="A6" s="28" t="n"/>
      <c r="B6" s="28" t="n"/>
      <c r="C6" s="28" t="n"/>
      <c r="D6" s="28" t="n"/>
      <c r="E6" s="28" t="n"/>
      <c r="F6" s="28" t="n"/>
      <c r="G6" s="62" t="inlineStr">
        <is>
          <t>SERIA 1</t>
        </is>
      </c>
      <c r="H6" s="100" t="n"/>
      <c r="I6" s="101" t="n"/>
      <c r="J6" s="62" t="inlineStr">
        <is>
          <t>SERIA 2</t>
        </is>
      </c>
      <c r="K6" s="100" t="n"/>
      <c r="L6" s="101" t="n"/>
      <c r="M6" s="62" t="inlineStr">
        <is>
          <t>SERIA 3</t>
        </is>
      </c>
      <c r="N6" s="100" t="n"/>
      <c r="O6" s="101" t="n"/>
      <c r="P6" s="62" t="inlineStr">
        <is>
          <t>SERIA 4</t>
        </is>
      </c>
      <c r="Q6" s="100" t="n"/>
      <c r="R6" s="101" t="n"/>
      <c r="S6" s="28" t="n"/>
      <c r="T6" s="28" t="n"/>
    </row>
    <row r="7" ht="38.1" customHeight="1" s="99" thickBot="1">
      <c r="A7" s="29" t="inlineStr">
        <is>
          <t>#</t>
        </is>
      </c>
      <c r="B7" s="29" t="inlineStr">
        <is>
          <t>Ćwiczenie</t>
        </is>
      </c>
      <c r="C7" s="29" t="inlineStr">
        <is>
          <t>Serie
w planie</t>
        </is>
      </c>
      <c r="D7" s="29" t="inlineStr">
        <is>
          <t>Zakres
powt.</t>
        </is>
      </c>
      <c r="E7" s="29" t="inlineStr">
        <is>
          <t>Ciężar startowy</t>
        </is>
      </c>
      <c r="F7" s="29" t="inlineStr">
        <is>
          <t>Ostatnia seria
do upadku?</t>
        </is>
      </c>
      <c r="G7" s="29" t="inlineStr">
        <is>
          <t>Ciężar
(kg)</t>
        </is>
      </c>
      <c r="H7" s="29" t="inlineStr">
        <is>
          <t>Powt.</t>
        </is>
      </c>
      <c r="I7" s="29" t="inlineStr">
        <is>
          <t>RIR cel
+ wskazówka</t>
        </is>
      </c>
      <c r="J7" s="29" t="inlineStr">
        <is>
          <t>Ciężar
(kg)</t>
        </is>
      </c>
      <c r="K7" s="29" t="inlineStr">
        <is>
          <t>Powt.</t>
        </is>
      </c>
      <c r="L7" s="29" t="inlineStr">
        <is>
          <t>RIR cel
+ wskazówka</t>
        </is>
      </c>
      <c r="M7" s="29" t="inlineStr">
        <is>
          <t>Ciężar
(kg)</t>
        </is>
      </c>
      <c r="N7" s="29" t="inlineStr">
        <is>
          <t>Powt.</t>
        </is>
      </c>
      <c r="O7" s="29" t="inlineStr">
        <is>
          <t>RIR cel
+ wskazówka</t>
        </is>
      </c>
      <c r="P7" s="29" t="inlineStr">
        <is>
          <t>Ciężar
(kg)</t>
        </is>
      </c>
      <c r="Q7" s="29" t="inlineStr">
        <is>
          <t>Powt.</t>
        </is>
      </c>
      <c r="R7" s="29" t="inlineStr">
        <is>
          <t>RIR cel
+ wskazówka</t>
        </is>
      </c>
      <c r="S7" s="29" t="inlineStr">
        <is>
          <t>Dodać ciężar
następny trening?</t>
        </is>
      </c>
      <c r="T7" s="29" t="inlineStr">
        <is>
          <t>Wskazówki techniczne</t>
        </is>
      </c>
    </row>
    <row r="8" ht="36" customHeight="1" s="99" thickBot="1">
      <c r="A8" s="30" t="n">
        <v>1</v>
      </c>
      <c r="B8" s="31" t="inlineStr">
        <is>
          <t>Martwy ciąg</t>
        </is>
      </c>
      <c r="C8" s="32" t="n">
        <v>4</v>
      </c>
      <c r="D8" s="32" t="inlineStr">
        <is>
          <t>4–6</t>
        </is>
      </c>
      <c r="E8" s="33" t="n">
        <v>95</v>
      </c>
      <c r="F8" s="34" t="inlineStr">
        <is>
          <t>⚠ NIGDY do upadku – ryzyko kręgosłupa</t>
        </is>
      </c>
      <c r="G8" s="33" t="n">
        <v>95</v>
      </c>
      <c r="H8" s="32" t="n"/>
      <c r="I8" s="8" t="inlineStr">
        <is>
          <t>RIR 3  –  4 powt., 3 w zapasie</t>
        </is>
      </c>
      <c r="J8" s="32" t="n">
        <v>105</v>
      </c>
      <c r="K8" s="32" t="n"/>
      <c r="L8" s="9" t="inlineStr">
        <is>
          <t>RIR 2  –  5 powt., 2 w zapasie</t>
        </is>
      </c>
      <c r="M8" s="32" t="n">
        <v>115</v>
      </c>
      <c r="N8" s="32" t="n"/>
      <c r="O8" s="10" t="inlineStr">
        <is>
          <t>RIR 1  –  5–6 powt., 1 w zapasie</t>
        </is>
      </c>
      <c r="P8" s="32" t="n">
        <v>125</v>
      </c>
      <c r="Q8" s="32" t="n"/>
      <c r="R8" s="10" t="inlineStr">
        <is>
          <t>RIR 1  –  6 powt., 1 w zapasie – max RIR 1</t>
        </is>
      </c>
      <c r="S8" s="32">
        <f>IF(Q8="","–",IF(ISNUMBER(Q8),IF(Q8&gt;6,"✓ TAK – dodaj 2,5 kg","✗ NIE – zostań z ciężarem"),"–"))</f>
        <v/>
      </c>
      <c r="T8" s="35" t="n"/>
    </row>
    <row r="9" ht="36" customHeight="1" s="99" thickBot="1">
      <c r="A9" s="36" t="n">
        <v>2</v>
      </c>
      <c r="B9" s="14" t="inlineStr">
        <is>
          <t>Podciąganie na drążku</t>
        </is>
      </c>
      <c r="C9" s="15" t="n">
        <v>4</v>
      </c>
      <c r="D9" s="15" t="inlineStr">
        <is>
          <t>6–8</t>
        </is>
      </c>
      <c r="E9" s="16" t="inlineStr">
        <is>
          <t>BW</t>
        </is>
      </c>
      <c r="F9" s="7" t="inlineStr">
        <is>
          <t>TAK – ostatnia seria do upadku</t>
        </is>
      </c>
      <c r="G9" s="16" t="inlineStr">
        <is>
          <t>BW</t>
        </is>
      </c>
      <c r="H9" s="15" t="n"/>
      <c r="I9" s="9" t="inlineStr">
        <is>
          <t>RIR 2  –  6 powt., 2 w zapasie</t>
        </is>
      </c>
      <c r="J9" s="16" t="inlineStr">
        <is>
          <t>BW</t>
        </is>
      </c>
      <c r="K9" s="15" t="n"/>
      <c r="L9" s="10" t="inlineStr">
        <is>
          <t>RIR 1  –  7 powt., 1 w zapasie</t>
        </is>
      </c>
      <c r="M9" s="16" t="inlineStr">
        <is>
          <t>BW</t>
        </is>
      </c>
      <c r="N9" s="15" t="n"/>
      <c r="O9" s="10" t="inlineStr">
        <is>
          <t>RIR 1  –  7 powt., 1 w zapasie</t>
        </is>
      </c>
      <c r="P9" s="16" t="inlineStr">
        <is>
          <t>BW</t>
        </is>
      </c>
      <c r="Q9" s="15" t="n"/>
      <c r="R9" s="11" t="inlineStr">
        <is>
          <t>RIR 0  –  DO UPADKU</t>
        </is>
      </c>
      <c r="S9" s="15">
        <f>IF(Q9="","–",IF(ISNUMBER(Q9),IF(Q9&gt;8,"✓ TAK – dodaj 2,5 kg","✗ NIE – zostań z ciężarem"),"–"))</f>
        <v/>
      </c>
      <c r="T9" s="18" t="inlineStr">
        <is>
          <t>neutral</t>
        </is>
      </c>
    </row>
    <row r="10" ht="36" customHeight="1" s="99" thickBot="1">
      <c r="A10" s="30" t="n">
        <v>3</v>
      </c>
      <c r="B10" s="31" t="inlineStr">
        <is>
          <t>Wiosłowanie sztangą</t>
        </is>
      </c>
      <c r="C10" s="32" t="n">
        <v>4</v>
      </c>
      <c r="D10" s="32" t="inlineStr">
        <is>
          <t xml:space="preserve"> 8-10</t>
        </is>
      </c>
      <c r="E10" s="33" t="n">
        <v>60</v>
      </c>
      <c r="F10" s="7" t="inlineStr">
        <is>
          <t>TAK – ostatnia seria do upadku</t>
        </is>
      </c>
      <c r="G10" s="32" t="n">
        <v>60</v>
      </c>
      <c r="H10" s="32" t="n"/>
      <c r="I10" s="9" t="inlineStr">
        <is>
          <t>RIR 2  –  8-9 powt., 2 w zapasie</t>
        </is>
      </c>
      <c r="J10" s="32" t="n">
        <v>65</v>
      </c>
      <c r="K10" s="37" t="n"/>
      <c r="L10" s="10" t="inlineStr">
        <is>
          <t>RIR 1  –  9-10 powt., 1 w zapasie</t>
        </is>
      </c>
      <c r="M10" s="32" t="n">
        <v>70</v>
      </c>
      <c r="N10" s="32" t="n"/>
      <c r="O10" s="10" t="inlineStr">
        <is>
          <t>RIR 1  –  9-10 powt., 1 w zapasie</t>
        </is>
      </c>
      <c r="P10" s="32" t="n">
        <v>75</v>
      </c>
      <c r="Q10" s="32" t="n"/>
      <c r="R10" s="11" t="inlineStr">
        <is>
          <t>RIR 0  –  DO UPADKU</t>
        </is>
      </c>
      <c r="S10" s="32">
        <f>IF(Q10="","–",IF(ISNUMBER(Q10),IF(Q10&gt;6,"✓ TAK – dodaj 2,5 kg","✗ NIE – zostań z ciężarem"),"–"))</f>
        <v/>
      </c>
      <c r="T10" s="35" t="n"/>
    </row>
    <row r="11" ht="36" customHeight="1" s="99" thickBot="1">
      <c r="A11" s="36" t="n">
        <v>4</v>
      </c>
      <c r="B11" s="14" t="inlineStr">
        <is>
          <t>Uginanie hantlami stojąc</t>
        </is>
      </c>
      <c r="C11" s="15" t="n">
        <v>3</v>
      </c>
      <c r="D11" s="15" t="inlineStr">
        <is>
          <t>10–12</t>
        </is>
      </c>
      <c r="E11" s="16" t="inlineStr">
        <is>
          <t>2 x 12,5</t>
        </is>
      </c>
      <c r="F11" s="7" t="inlineStr">
        <is>
          <t>TAK – ostatnia seria do upadku</t>
        </is>
      </c>
      <c r="G11" s="16" t="inlineStr">
        <is>
          <t>2 x 12,5</t>
        </is>
      </c>
      <c r="H11" s="15" t="n"/>
      <c r="I11" s="9" t="inlineStr">
        <is>
          <t>RIR 2  –  10 powt., 2 w zapasie</t>
        </is>
      </c>
      <c r="J11" s="16" t="inlineStr">
        <is>
          <t>2 x 12,5</t>
        </is>
      </c>
      <c r="K11" s="15" t="n"/>
      <c r="L11" s="10" t="inlineStr">
        <is>
          <t>RIR 1  –  11 powt., 1 w zapasie</t>
        </is>
      </c>
      <c r="M11" s="16" t="inlineStr">
        <is>
          <t>2 x 12,5</t>
        </is>
      </c>
      <c r="N11" s="15" t="n"/>
      <c r="O11" s="11" t="inlineStr">
        <is>
          <t>RIR 0  –  DO UPADKU</t>
        </is>
      </c>
      <c r="P11" s="17" t="n"/>
      <c r="Q11" s="17" t="n"/>
      <c r="R11" s="17" t="n"/>
      <c r="S11" s="32">
        <f>IF(N11="","–",IF(ISNUMBER(N11),IF(N11&gt;12,"✓ TAK – dodaj 2,5 kg","✗ NIE – zostań z ciężarem"),"–"))</f>
        <v/>
      </c>
      <c r="T11" s="38" t="inlineStr">
        <is>
          <t>supinacja w górze, biceps zmęczony drążkiem</t>
        </is>
      </c>
    </row>
    <row r="12" ht="15.95" customHeight="1" s="99">
      <c r="A12" s="68" t="inlineStr">
        <is>
          <t>Kolory RIR: zielony=RIR 3, niebieski=RIR 2, pomarańczowy=RIR 1, czerwony=RIR 0/upadek. Szare pola = seria nie w planie.</t>
        </is>
      </c>
    </row>
    <row r="14" ht="21.95" customHeight="1" s="99">
      <c r="A14" s="66" t="inlineStr">
        <is>
          <t>ROZGRZEWKA – PULL</t>
        </is>
      </c>
    </row>
    <row r="15" ht="27.95" customHeight="1" s="99">
      <c r="A15" s="73" t="inlineStr">
        <is>
          <t>Faza</t>
        </is>
      </c>
      <c r="B15" s="73" t="inlineStr">
        <is>
          <t>Ćwiczenie / aktywność</t>
        </is>
      </c>
      <c r="C15" s="100" t="n"/>
      <c r="D15" s="100" t="n"/>
      <c r="E15" s="101" t="n"/>
      <c r="F15" s="73" t="inlineStr">
        <is>
          <t>Czas</t>
        </is>
      </c>
      <c r="G15" s="73" t="inlineStr">
        <is>
          <t>Wskazówka</t>
        </is>
      </c>
      <c r="H15" s="100" t="n"/>
      <c r="I15" s="100" t="n"/>
      <c r="J15" s="100" t="n"/>
      <c r="K15" s="100" t="n"/>
      <c r="L15" s="100" t="n"/>
      <c r="M15" s="100" t="n"/>
      <c r="N15" s="100" t="n"/>
      <c r="O15" s="100" t="n"/>
      <c r="P15" s="100" t="n"/>
      <c r="Q15" s="100" t="n"/>
      <c r="R15" s="100" t="n"/>
      <c r="S15" s="101" t="n"/>
      <c r="T15" s="74" t="n"/>
    </row>
    <row r="16" ht="24" customHeight="1" s="99">
      <c r="A16" s="41" t="inlineStr">
        <is>
          <t>🔵 Ogólna</t>
        </is>
      </c>
      <c r="B16" s="76" t="inlineStr">
        <is>
          <t>Rower / orbitrek</t>
        </is>
      </c>
      <c r="C16" s="100" t="n"/>
      <c r="D16" s="100" t="n"/>
      <c r="E16" s="101" t="n"/>
      <c r="F16" s="43" t="inlineStr">
        <is>
          <t>5 min</t>
        </is>
      </c>
      <c r="G16" s="64" t="inlineStr">
        <is>
          <t>umiarkowane tempo</t>
        </is>
      </c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1" t="n"/>
      <c r="T16" s="65" t="n"/>
    </row>
    <row r="17" ht="24" customHeight="1" s="99">
      <c r="A17" s="25" t="inlineStr">
        <is>
          <t>🔵 Ogólna</t>
        </is>
      </c>
      <c r="B17" s="60" t="inlineStr">
        <is>
          <t>Kilka przysiadów BW + rotacje bioder</t>
        </is>
      </c>
      <c r="C17" s="100" t="n"/>
      <c r="D17" s="100" t="n"/>
      <c r="E17" s="101" t="n"/>
      <c r="F17" s="44" t="inlineStr">
        <is>
          <t>2 min</t>
        </is>
      </c>
      <c r="G17" s="70" t="inlineStr">
        <is>
          <t>angażuje biodra i dolne plecy przed martwym</t>
        </is>
      </c>
      <c r="H17" s="100" t="n"/>
      <c r="I17" s="100" t="n"/>
      <c r="J17" s="100" t="n"/>
      <c r="K17" s="100" t="n"/>
      <c r="L17" s="100" t="n"/>
      <c r="M17" s="100" t="n"/>
      <c r="N17" s="100" t="n"/>
      <c r="O17" s="100" t="n"/>
      <c r="P17" s="100" t="n"/>
      <c r="Q17" s="100" t="n"/>
      <c r="R17" s="100" t="n"/>
      <c r="S17" s="101" t="n"/>
      <c r="T17" s="61" t="n"/>
    </row>
    <row r="18" ht="24" customHeight="1" s="99">
      <c r="A18" s="41" t="inlineStr">
        <is>
          <t>🟠 Aktywacja przed MC</t>
        </is>
      </c>
      <c r="B18" s="76" t="inlineStr">
        <is>
          <t>Mostek biodrowy na podłodze 2 × 10</t>
        </is>
      </c>
      <c r="C18" s="100" t="n"/>
      <c r="D18" s="100" t="n"/>
      <c r="E18" s="101" t="n"/>
      <c r="F18" s="43" t="inlineStr">
        <is>
          <t>–</t>
        </is>
      </c>
      <c r="G18" s="64" t="inlineStr">
        <is>
          <t>aktywacja pośladków i stabilizatorów kręgosłupa</t>
        </is>
      </c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1" t="n"/>
      <c r="T18" s="65" t="n"/>
    </row>
    <row r="19" ht="24" customHeight="1" s="99">
      <c r="A19" s="25" t="inlineStr">
        <is>
          <t>🟠 Aktywacja przed MC</t>
        </is>
      </c>
      <c r="B19" s="60" t="inlineStr">
        <is>
          <t>Bird-dog 2 × 8 na stronę</t>
        </is>
      </c>
      <c r="C19" s="100" t="n"/>
      <c r="D19" s="100" t="n"/>
      <c r="E19" s="101" t="n"/>
      <c r="F19" s="44" t="inlineStr">
        <is>
          <t>–</t>
        </is>
      </c>
      <c r="G19" s="70" t="inlineStr">
        <is>
          <t>stabilizacja odcinka lędźwiowego</t>
        </is>
      </c>
      <c r="H19" s="100" t="n"/>
      <c r="I19" s="100" t="n"/>
      <c r="J19" s="100" t="n"/>
      <c r="K19" s="100" t="n"/>
      <c r="L19" s="100" t="n"/>
      <c r="M19" s="100" t="n"/>
      <c r="N19" s="100" t="n"/>
      <c r="O19" s="100" t="n"/>
      <c r="P19" s="100" t="n"/>
      <c r="Q19" s="100" t="n"/>
      <c r="R19" s="100" t="n"/>
      <c r="S19" s="101" t="n"/>
      <c r="T19" s="61" t="n"/>
    </row>
    <row r="20" ht="24" customHeight="1" s="99">
      <c r="A20" s="41" t="inlineStr">
        <is>
          <t>🟠 Przed martwym ciągiem</t>
        </is>
      </c>
      <c r="B20" s="76" t="inlineStr">
        <is>
          <t>Gryf (20 kg) × 8 powt.</t>
        </is>
      </c>
      <c r="C20" s="100" t="n"/>
      <c r="D20" s="100" t="n"/>
      <c r="E20" s="101" t="n"/>
      <c r="F20" s="43" t="inlineStr">
        <is>
          <t>–</t>
        </is>
      </c>
      <c r="G20" s="64" t="inlineStr">
        <is>
          <t>tylko technika – pozycja pleców, ustawienie bioder</t>
        </is>
      </c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1" t="n"/>
      <c r="T20" s="65" t="n"/>
    </row>
    <row r="21" ht="24" customHeight="1" s="99">
      <c r="A21" s="25" t="inlineStr">
        <is>
          <t>🟠 Przed martwym ciągiem</t>
        </is>
      </c>
      <c r="B21" s="60" t="inlineStr">
        <is>
          <t>50 kg × 5 powt.</t>
        </is>
      </c>
      <c r="C21" s="100" t="n"/>
      <c r="D21" s="100" t="n"/>
      <c r="E21" s="101" t="n"/>
      <c r="F21" s="44" t="inlineStr">
        <is>
          <t>–</t>
        </is>
      </c>
      <c r="G21" s="70" t="inlineStr">
        <is>
          <t>zaczyna być czuć ciężar</t>
        </is>
      </c>
      <c r="H21" s="100" t="n"/>
      <c r="I21" s="100" t="n"/>
      <c r="J21" s="100" t="n"/>
      <c r="K21" s="100" t="n"/>
      <c r="L21" s="100" t="n"/>
      <c r="M21" s="100" t="n"/>
      <c r="N21" s="100" t="n"/>
      <c r="O21" s="100" t="n"/>
      <c r="P21" s="100" t="n"/>
      <c r="Q21" s="100" t="n"/>
      <c r="R21" s="100" t="n"/>
      <c r="S21" s="101" t="n"/>
      <c r="T21" s="61" t="n"/>
    </row>
    <row r="22" ht="24" customHeight="1" s="99">
      <c r="A22" s="41" t="inlineStr">
        <is>
          <t>🟠 Przed martwym ciągiem</t>
        </is>
      </c>
      <c r="B22" s="76" t="inlineStr">
        <is>
          <t>70 kg × 3 powt.</t>
        </is>
      </c>
      <c r="C22" s="100" t="n"/>
      <c r="D22" s="100" t="n"/>
      <c r="E22" s="101" t="n"/>
      <c r="F22" s="43" t="inlineStr">
        <is>
          <t>–</t>
        </is>
      </c>
      <c r="G22" s="64" t="inlineStr">
        <is>
          <t>krótka – nie zmęczyć się</t>
        </is>
      </c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1" t="n"/>
      <c r="T22" s="65" t="n"/>
    </row>
    <row r="23" ht="24" customHeight="1" s="99">
      <c r="A23" s="25" t="inlineStr">
        <is>
          <t>🟠 Przed martwym ciągiem</t>
        </is>
      </c>
      <c r="B23" s="60" t="inlineStr">
        <is>
          <t>90 kg × 2 powt.</t>
        </is>
      </c>
      <c r="C23" s="100" t="n"/>
      <c r="D23" s="100" t="n"/>
      <c r="E23" s="101" t="n"/>
      <c r="F23" s="44" t="inlineStr">
        <is>
          <t>–</t>
        </is>
      </c>
      <c r="G23" s="70" t="inlineStr">
        <is>
          <t>ostatni skok przed roboczymi</t>
        </is>
      </c>
      <c r="H23" s="100" t="n"/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1" t="n"/>
      <c r="T23" s="61" t="n"/>
    </row>
    <row r="24" ht="24" customHeight="1" s="99">
      <c r="A24" s="41" t="inlineStr">
        <is>
          <t>🟠 Przed martwym ciągiem</t>
        </is>
      </c>
      <c r="B24" s="76" t="inlineStr">
        <is>
          <t>100 kg × 1 powt.</t>
        </is>
      </c>
      <c r="C24" s="100" t="n"/>
      <c r="D24" s="100" t="n"/>
      <c r="E24" s="101" t="n"/>
      <c r="F24" s="43" t="inlineStr">
        <is>
          <t>–</t>
        </is>
      </c>
      <c r="G24" s="64" t="inlineStr">
        <is>
          <t>aktywacja układu nerwowego – wchodzisz pewny w 110 kg</t>
        </is>
      </c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1" t="n"/>
      <c r="T24" s="65" t="n"/>
    </row>
    <row r="25" ht="24" customHeight="1" s="99">
      <c r="A25" s="25" t="inlineStr">
        <is>
          <t>🟠 Przed drążkiem</t>
        </is>
      </c>
      <c r="B25" s="60" t="inlineStr">
        <is>
          <t>5 luźnych podciągnięć z gumą lub niepełny zakres</t>
        </is>
      </c>
      <c r="C25" s="100" t="n"/>
      <c r="D25" s="100" t="n"/>
      <c r="E25" s="101" t="n"/>
      <c r="F25" s="44" t="inlineStr">
        <is>
          <t>–</t>
        </is>
      </c>
      <c r="G25" s="70" t="inlineStr">
        <is>
          <t>tylko jeśli czujesz sztywność w łokciach / barkach</t>
        </is>
      </c>
      <c r="H25" s="100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1" t="n"/>
      <c r="T25" s="61" t="n"/>
    </row>
    <row r="26" ht="18" customHeight="1" s="99">
      <c r="A26" s="69" t="inlineStr">
        <is>
          <t>⚠  NIE rozciągaj statycznie dolnych pleców przed martwym – destabilizuje odcinek lędźwiowy.</t>
        </is>
      </c>
    </row>
  </sheetData>
  <mergeCells count="32">
    <mergeCell ref="J6:L6"/>
    <mergeCell ref="G6:I6"/>
    <mergeCell ref="B15:E15"/>
    <mergeCell ref="G20:S20"/>
    <mergeCell ref="B24:E24"/>
    <mergeCell ref="B20:E20"/>
    <mergeCell ref="M6:O6"/>
    <mergeCell ref="G25:S25"/>
    <mergeCell ref="A1:T1"/>
    <mergeCell ref="G16:S16"/>
    <mergeCell ref="G22:S22"/>
    <mergeCell ref="B16:E16"/>
    <mergeCell ref="B25:E25"/>
    <mergeCell ref="G21:S21"/>
    <mergeCell ref="B22:E22"/>
    <mergeCell ref="B18:E18"/>
    <mergeCell ref="A12:T12"/>
    <mergeCell ref="G23:S23"/>
    <mergeCell ref="A26:T26"/>
    <mergeCell ref="B21:E21"/>
    <mergeCell ref="G17:S17"/>
    <mergeCell ref="A2:T2"/>
    <mergeCell ref="A14:T14"/>
    <mergeCell ref="A5:T5"/>
    <mergeCell ref="G19:S19"/>
    <mergeCell ref="B17:E17"/>
    <mergeCell ref="B23:E23"/>
    <mergeCell ref="G18:S18"/>
    <mergeCell ref="B19:E19"/>
    <mergeCell ref="G15:S15"/>
    <mergeCell ref="P6:R6"/>
    <mergeCell ref="G24:S24"/>
  </mergeCells>
  <pageMargins left="0.75" right="0.75" top="1" bottom="1" header="0.5" footer="0.5"/>
  <headerFooter>
    <oddHeader/>
    <oddFooter>&amp;C&amp;"Aptos"&amp;10 &amp;K000000_x000d_# DSV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H10" sqref="H10"/>
    </sheetView>
  </sheetViews>
  <sheetFormatPr baseColWidth="8" defaultColWidth="10" defaultRowHeight="15"/>
  <cols>
    <col width="9.42578125" bestFit="1" customWidth="1" style="99" min="1" max="1"/>
    <col width="20.140625" bestFit="1" customWidth="1" style="99" min="2" max="2"/>
    <col width="5.85546875" bestFit="1" customWidth="1" style="99" min="3" max="3"/>
    <col width="6.7109375" bestFit="1" customWidth="1" style="99" min="4" max="4"/>
    <col width="13.85546875" bestFit="1" customWidth="1" style="99" min="5" max="6"/>
    <col width="6.140625" bestFit="1" customWidth="1" style="99" min="7" max="7"/>
    <col width="5.5703125" bestFit="1" customWidth="1" style="99" min="8" max="8"/>
    <col width="19" bestFit="1" customWidth="1" style="99" min="9" max="9"/>
    <col width="6.140625" bestFit="1" customWidth="1" style="99" min="10" max="10"/>
    <col width="5.5703125" bestFit="1" customWidth="1" style="99" min="11" max="11"/>
    <col width="19" bestFit="1" customWidth="1" style="99" min="12" max="12"/>
    <col width="6.140625" bestFit="1" customWidth="1" style="99" min="13" max="13"/>
    <col width="5.5703125" bestFit="1" customWidth="1" style="99" min="14" max="14"/>
    <col width="18" bestFit="1" customWidth="1" style="99" min="15" max="15"/>
    <col width="6.140625" bestFit="1" customWidth="1" style="99" min="16" max="16"/>
    <col width="5.5703125" bestFit="1" customWidth="1" style="99" min="17" max="17"/>
    <col width="20" customWidth="1" style="99" min="18" max="18"/>
    <col width="15.7109375" bestFit="1" customWidth="1" style="99" min="19" max="19"/>
    <col width="24" bestFit="1" customWidth="1" style="99" min="20" max="20"/>
  </cols>
  <sheetData>
    <row r="1" ht="27.95" customHeight="1" s="99">
      <c r="A1" s="92" t="inlineStr">
        <is>
          <t>NOGI – Uda · Pośladki</t>
        </is>
      </c>
    </row>
    <row r="2" ht="18" customHeight="1" s="99">
      <c r="A2" s="93" t="inlineStr">
        <is>
          <t>Progresja: gdy ostatnia seria (do upadku) przekracza górny pułap zakresu → następny trening dodaj 2,5 kg</t>
        </is>
      </c>
    </row>
    <row r="3" ht="8.1" customHeight="1" s="99"/>
    <row r="4" ht="8.1" customHeight="1" s="99"/>
    <row r="5" ht="20.1" customHeight="1" s="99">
      <c r="A5" s="97" t="inlineStr">
        <is>
          <t>TRENING WŁAŚCIWY</t>
        </is>
      </c>
    </row>
    <row r="6" ht="15.95" customHeight="1" s="99">
      <c r="A6" s="45" t="n"/>
      <c r="B6" s="45" t="n"/>
      <c r="C6" s="45" t="n"/>
      <c r="D6" s="45" t="n"/>
      <c r="E6" s="45" t="n"/>
      <c r="F6" s="45" t="n"/>
      <c r="G6" s="94" t="inlineStr">
        <is>
          <t>SERIA 1</t>
        </is>
      </c>
      <c r="H6" s="100" t="n"/>
      <c r="I6" s="101" t="n"/>
      <c r="J6" s="94" t="inlineStr">
        <is>
          <t>SERIA 2</t>
        </is>
      </c>
      <c r="K6" s="100" t="n"/>
      <c r="L6" s="101" t="n"/>
      <c r="M6" s="94" t="inlineStr">
        <is>
          <t>SERIA 3</t>
        </is>
      </c>
      <c r="N6" s="100" t="n"/>
      <c r="O6" s="101" t="n"/>
      <c r="P6" s="94" t="inlineStr">
        <is>
          <t>SERIA 4</t>
        </is>
      </c>
      <c r="Q6" s="100" t="n"/>
      <c r="R6" s="101" t="n"/>
      <c r="S6" s="45" t="n"/>
      <c r="T6" s="45" t="n"/>
    </row>
    <row r="7" ht="38.1" customHeight="1" s="99">
      <c r="A7" s="46" t="inlineStr">
        <is>
          <t>#</t>
        </is>
      </c>
      <c r="B7" s="46" t="inlineStr">
        <is>
          <t>Ćwiczenie</t>
        </is>
      </c>
      <c r="C7" s="46" t="inlineStr">
        <is>
          <t>Serie
w planie</t>
        </is>
      </c>
      <c r="D7" s="46" t="inlineStr">
        <is>
          <t>Zakres
powt.</t>
        </is>
      </c>
      <c r="E7" s="46" t="inlineStr">
        <is>
          <t>Ciężar startowy</t>
        </is>
      </c>
      <c r="F7" s="46" t="inlineStr">
        <is>
          <t>Ostatnia seria
do upadku?</t>
        </is>
      </c>
      <c r="G7" s="46" t="inlineStr">
        <is>
          <t>Ciężar
(kg)</t>
        </is>
      </c>
      <c r="H7" s="46" t="inlineStr">
        <is>
          <t>Powt.</t>
        </is>
      </c>
      <c r="I7" s="46" t="inlineStr">
        <is>
          <t>RIR cel
+ wskazówka</t>
        </is>
      </c>
      <c r="J7" s="46" t="inlineStr">
        <is>
          <t>Ciężar
(kg)</t>
        </is>
      </c>
      <c r="K7" s="46" t="inlineStr">
        <is>
          <t>Powt.</t>
        </is>
      </c>
      <c r="L7" s="46" t="inlineStr">
        <is>
          <t>RIR cel
+ wskazówka</t>
        </is>
      </c>
      <c r="M7" s="46" t="inlineStr">
        <is>
          <t>Ciężar
(kg)</t>
        </is>
      </c>
      <c r="N7" s="46" t="inlineStr">
        <is>
          <t>Powt.</t>
        </is>
      </c>
      <c r="O7" s="46" t="inlineStr">
        <is>
          <t>RIR cel
+ wskazówka</t>
        </is>
      </c>
      <c r="P7" s="46" t="inlineStr">
        <is>
          <t>Ciężar
(kg)</t>
        </is>
      </c>
      <c r="Q7" s="46" t="inlineStr">
        <is>
          <t>Powt.</t>
        </is>
      </c>
      <c r="R7" s="46" t="inlineStr">
        <is>
          <t>RIR cel
+ wskazówka</t>
        </is>
      </c>
      <c r="S7" s="46" t="inlineStr">
        <is>
          <t>Dodać ciężar
następny trening?</t>
        </is>
      </c>
      <c r="T7" s="46" t="inlineStr">
        <is>
          <t>Wskazówki techniczne</t>
        </is>
      </c>
    </row>
    <row r="8" ht="36" customHeight="1" s="99">
      <c r="A8" s="47" t="n">
        <v>1</v>
      </c>
      <c r="B8" s="48" t="inlineStr">
        <is>
          <t>Przysiad ze sztangą</t>
        </is>
      </c>
      <c r="C8" s="49" t="n">
        <v>4</v>
      </c>
      <c r="D8" s="49" t="inlineStr">
        <is>
          <t>5–8</t>
        </is>
      </c>
      <c r="E8" s="50" t="n">
        <v>70</v>
      </c>
      <c r="F8" s="34" t="inlineStr">
        <is>
          <t>⚠ NIGDY do upadku – ryzyko kręgosłupa</t>
        </is>
      </c>
      <c r="G8" s="49" t="n"/>
      <c r="H8" s="49" t="n"/>
      <c r="I8" s="8" t="inlineStr">
        <is>
          <t>RIR 3  –  5 powt., 3 w zapasie</t>
        </is>
      </c>
      <c r="J8" s="49" t="n"/>
      <c r="K8" s="49" t="n"/>
      <c r="L8" s="9" t="inlineStr">
        <is>
          <t>RIR 2  –  6 powt., 2 w zapasie</t>
        </is>
      </c>
      <c r="M8" s="49" t="n"/>
      <c r="N8" s="49" t="n"/>
      <c r="O8" s="10" t="inlineStr">
        <is>
          <t>RIR 1  –  7 powt., 1 w zapasie</t>
        </is>
      </c>
      <c r="P8" s="49" t="n"/>
      <c r="Q8" s="49" t="n"/>
      <c r="R8" s="10" t="inlineStr">
        <is>
          <t>RIR 1  –  7–8 powt., 1 w zapasie – max RIR 1</t>
        </is>
      </c>
      <c r="S8" s="49">
        <f>IF(Q8="","–",IF(ISNUMBER(Q8),IF(Q8&gt;8,"✓ TAK – dodaj 2,5 kg","✗ NIE – zostań z ciężarem"),"–"))</f>
        <v/>
      </c>
      <c r="T8" s="51" t="n"/>
    </row>
    <row r="9" ht="36" customHeight="1" s="99">
      <c r="A9" s="52" t="n">
        <v>2</v>
      </c>
      <c r="B9" s="14" t="inlineStr">
        <is>
          <t>RDL ze sztangą</t>
        </is>
      </c>
      <c r="C9" s="15" t="n">
        <v>3</v>
      </c>
      <c r="D9" s="15" t="inlineStr">
        <is>
          <t>8–10</t>
        </is>
      </c>
      <c r="E9" s="16" t="n">
        <v>40</v>
      </c>
      <c r="F9" s="7" t="inlineStr">
        <is>
          <t>TAK – ostatnia seria do upadku</t>
        </is>
      </c>
      <c r="G9" s="15" t="n"/>
      <c r="H9" s="15" t="n"/>
      <c r="I9" s="9" t="inlineStr">
        <is>
          <t>RIR 2  –  8 powt., 2 w zapasie</t>
        </is>
      </c>
      <c r="J9" s="15" t="n"/>
      <c r="K9" s="15" t="n"/>
      <c r="L9" s="10" t="inlineStr">
        <is>
          <t>RIR 1  –  9 powt., 1 w zapasie</t>
        </is>
      </c>
      <c r="M9" s="15" t="n"/>
      <c r="N9" s="15" t="n"/>
      <c r="O9" s="11" t="inlineStr">
        <is>
          <t>RIR 0  –  DO UPADKU</t>
        </is>
      </c>
      <c r="P9" s="17" t="n"/>
      <c r="Q9" s="17" t="n"/>
      <c r="R9" s="17" t="n"/>
      <c r="S9" s="15">
        <f>IF(N9="","–",IF(ISNUMBER(N9),IF(N9&gt;10,"✓ TAK – dodaj 2,5 kg","✗ NIE – zostań z ciężarem"),"–"))</f>
        <v/>
      </c>
      <c r="T9" s="18" t="inlineStr">
        <is>
          <t>skup się na rozciągnięciu dwugłowych</t>
        </is>
      </c>
    </row>
    <row r="10" ht="36" customHeight="1" s="99">
      <c r="A10" s="47" t="n">
        <v>3</v>
      </c>
      <c r="B10" s="48" t="inlineStr">
        <is>
          <t>Hip thrust ze sztangą</t>
        </is>
      </c>
      <c r="C10" s="49" t="n">
        <v>3</v>
      </c>
      <c r="D10" s="49" t="inlineStr">
        <is>
          <t>10–12</t>
        </is>
      </c>
      <c r="E10" s="50" t="n">
        <v>50</v>
      </c>
      <c r="F10" s="7" t="inlineStr">
        <is>
          <t>TAK – ostatnia seria do upadku</t>
        </is>
      </c>
      <c r="G10" s="49" t="n"/>
      <c r="H10" s="49" t="n"/>
      <c r="I10" s="9" t="inlineStr">
        <is>
          <t>RIR 2  –  10 powt., 2 w zapasie</t>
        </is>
      </c>
      <c r="J10" s="49" t="n"/>
      <c r="K10" s="49" t="n"/>
      <c r="L10" s="10" t="inlineStr">
        <is>
          <t>RIR 1  –  11 powt., 1 w zapasie</t>
        </is>
      </c>
      <c r="M10" s="49" t="n"/>
      <c r="N10" s="49" t="n"/>
      <c r="O10" s="11" t="inlineStr">
        <is>
          <t>RIR 0  –  DO UPADKU</t>
        </is>
      </c>
      <c r="P10" s="17" t="n"/>
      <c r="Q10" s="17" t="n"/>
      <c r="R10" s="17" t="n"/>
      <c r="S10" s="49">
        <f>IF(N10="","–",IF(ISNUMBER(N10),IF(N10&gt;12,"✓ TAK – dodaj 2,5 kg","✗ NIE – zostań z ciężarem"),"–"))</f>
        <v/>
      </c>
      <c r="T10" s="53" t="inlineStr">
        <is>
          <t>1. sesja = kalibracja ciężaru</t>
        </is>
      </c>
    </row>
    <row r="11" ht="15.95" customHeight="1" s="99">
      <c r="A11" s="68" t="inlineStr">
        <is>
          <t>Kolory RIR: zielony=RIR 3, niebieski=RIR 2, pomarańczowy=RIR 1, czerwony=RIR 0/upadek. Szare pola = seria nie w planie.</t>
        </is>
      </c>
    </row>
    <row r="13" ht="21.95" customHeight="1" s="99">
      <c r="A13" s="98" t="inlineStr">
        <is>
          <t>ROZGRZEWKA – NOGI</t>
        </is>
      </c>
    </row>
    <row r="14" ht="27.95" customHeight="1" s="99">
      <c r="A14" s="90" t="inlineStr">
        <is>
          <t>Faza</t>
        </is>
      </c>
      <c r="B14" s="90" t="inlineStr">
        <is>
          <t>Ćwiczenie / aktywność</t>
        </is>
      </c>
      <c r="C14" s="100" t="n"/>
      <c r="D14" s="100" t="n"/>
      <c r="E14" s="101" t="n"/>
      <c r="F14" s="90" t="inlineStr">
        <is>
          <t>Czas</t>
        </is>
      </c>
      <c r="G14" s="90" t="inlineStr">
        <is>
          <t>Wskazówka</t>
        </is>
      </c>
      <c r="H14" s="100" t="n"/>
      <c r="I14" s="100" t="n"/>
      <c r="J14" s="100" t="n"/>
      <c r="K14" s="100" t="n"/>
      <c r="L14" s="100" t="n"/>
      <c r="M14" s="100" t="n"/>
      <c r="N14" s="100" t="n"/>
      <c r="O14" s="100" t="n"/>
      <c r="P14" s="100" t="n"/>
      <c r="Q14" s="100" t="n"/>
      <c r="R14" s="100" t="n"/>
      <c r="S14" s="101" t="n"/>
      <c r="T14" s="91" t="n"/>
    </row>
    <row r="15" ht="24" customHeight="1" s="99">
      <c r="A15" s="56" t="inlineStr">
        <is>
          <t>🔵 Ogólna</t>
        </is>
      </c>
      <c r="B15" s="88" t="inlineStr">
        <is>
          <t>Rower stacjonarny</t>
        </is>
      </c>
      <c r="C15" s="100" t="n"/>
      <c r="D15" s="100" t="n"/>
      <c r="E15" s="101" t="n"/>
      <c r="F15" s="58" t="inlineStr">
        <is>
          <t>5–7 min</t>
        </is>
      </c>
      <c r="G15" s="96" t="inlineStr">
        <is>
          <t>angażuje dokładnie te mięśnie co trening – najlepsza opcja przed nogami</t>
        </is>
      </c>
      <c r="H15" s="100" t="n"/>
      <c r="I15" s="100" t="n"/>
      <c r="J15" s="100" t="n"/>
      <c r="K15" s="100" t="n"/>
      <c r="L15" s="100" t="n"/>
      <c r="M15" s="100" t="n"/>
      <c r="N15" s="100" t="n"/>
      <c r="O15" s="100" t="n"/>
      <c r="P15" s="100" t="n"/>
      <c r="Q15" s="100" t="n"/>
      <c r="R15" s="100" t="n"/>
      <c r="S15" s="101" t="n"/>
      <c r="T15" s="89" t="n"/>
    </row>
    <row r="16" ht="24" customHeight="1" s="99">
      <c r="A16" s="25" t="inlineStr">
        <is>
          <t>🟠 Mobilizacja</t>
        </is>
      </c>
      <c r="B16" s="60" t="inlineStr">
        <is>
          <t>Krążenia bioder stojąc – 10 w każdą stronę</t>
        </is>
      </c>
      <c r="C16" s="100" t="n"/>
      <c r="D16" s="100" t="n"/>
      <c r="E16" s="101" t="n"/>
      <c r="F16" s="59" t="inlineStr">
        <is>
          <t>–</t>
        </is>
      </c>
      <c r="G16" s="70" t="inlineStr">
        <is>
          <t>rozgrzewa staw biodrowy</t>
        </is>
      </c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0" t="n"/>
      <c r="R16" s="100" t="n"/>
      <c r="S16" s="101" t="n"/>
      <c r="T16" s="61" t="n"/>
    </row>
    <row r="17" ht="24" customHeight="1" s="99">
      <c r="A17" s="56" t="inlineStr">
        <is>
          <t>🟠 Mobilizacja</t>
        </is>
      </c>
      <c r="B17" s="88" t="inlineStr">
        <is>
          <t>Wypady z rotacją tułowia – 8 na stronę</t>
        </is>
      </c>
      <c r="C17" s="100" t="n"/>
      <c r="D17" s="100" t="n"/>
      <c r="E17" s="101" t="n"/>
      <c r="F17" s="58" t="inlineStr">
        <is>
          <t>–</t>
        </is>
      </c>
      <c r="G17" s="96" t="inlineStr">
        <is>
          <t>otwiera biodra, mobilizuje kręgosłup piersiowy</t>
        </is>
      </c>
      <c r="H17" s="100" t="n"/>
      <c r="I17" s="100" t="n"/>
      <c r="J17" s="100" t="n"/>
      <c r="K17" s="100" t="n"/>
      <c r="L17" s="100" t="n"/>
      <c r="M17" s="100" t="n"/>
      <c r="N17" s="100" t="n"/>
      <c r="O17" s="100" t="n"/>
      <c r="P17" s="100" t="n"/>
      <c r="Q17" s="100" t="n"/>
      <c r="R17" s="100" t="n"/>
      <c r="S17" s="101" t="n"/>
      <c r="T17" s="89" t="n"/>
    </row>
    <row r="18" ht="24" customHeight="1" s="99">
      <c r="A18" s="25" t="inlineStr">
        <is>
          <t>🟠 Mobilizacja</t>
        </is>
      </c>
      <c r="B18" s="60" t="inlineStr">
        <is>
          <t>Głęboki przysiad BW z 2–3 s przytrzymaniem na dole × 10</t>
        </is>
      </c>
      <c r="C18" s="100" t="n"/>
      <c r="D18" s="100" t="n"/>
      <c r="E18" s="101" t="n"/>
      <c r="F18" s="59" t="inlineStr">
        <is>
          <t>–</t>
        </is>
      </c>
      <c r="G18" s="70" t="inlineStr">
        <is>
          <t>sprawdzasz zakres – kostki, kolana, biodra</t>
        </is>
      </c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1" t="n"/>
      <c r="T18" s="61" t="n"/>
    </row>
    <row r="19" ht="24" customHeight="1" s="99">
      <c r="A19" s="56" t="inlineStr">
        <is>
          <t>🟠 Mobilizacja</t>
        </is>
      </c>
      <c r="B19" s="88" t="inlineStr">
        <is>
          <t>Krążenia kostek – 10 w każdą stronę</t>
        </is>
      </c>
      <c r="C19" s="100" t="n"/>
      <c r="D19" s="100" t="n"/>
      <c r="E19" s="101" t="n"/>
      <c r="F19" s="58" t="inlineStr">
        <is>
          <t>–</t>
        </is>
      </c>
      <c r="G19" s="96" t="inlineStr">
        <is>
          <t>sztywne kostki ograniczają głębokość przysiadu</t>
        </is>
      </c>
      <c r="H19" s="100" t="n"/>
      <c r="I19" s="100" t="n"/>
      <c r="J19" s="100" t="n"/>
      <c r="K19" s="100" t="n"/>
      <c r="L19" s="100" t="n"/>
      <c r="M19" s="100" t="n"/>
      <c r="N19" s="100" t="n"/>
      <c r="O19" s="100" t="n"/>
      <c r="P19" s="100" t="n"/>
      <c r="Q19" s="100" t="n"/>
      <c r="R19" s="100" t="n"/>
      <c r="S19" s="101" t="n"/>
      <c r="T19" s="89" t="n"/>
    </row>
    <row r="20" ht="24" customHeight="1" s="99">
      <c r="A20" s="25" t="inlineStr">
        <is>
          <t>🟠 Opcjonalnie</t>
        </is>
      </c>
      <c r="B20" s="60" t="inlineStr">
        <is>
          <t>Monster walk z gumą oporową na kolanach 2 × 10</t>
        </is>
      </c>
      <c r="C20" s="100" t="n"/>
      <c r="D20" s="100" t="n"/>
      <c r="E20" s="101" t="n"/>
      <c r="F20" s="59" t="inlineStr">
        <is>
          <t>–</t>
        </is>
      </c>
      <c r="G20" s="70" t="inlineStr">
        <is>
          <t>jeśli kolana wpadają do środka lub problem z głębokością</t>
        </is>
      </c>
      <c r="H20" s="100" t="n"/>
      <c r="I20" s="100" t="n"/>
      <c r="J20" s="100" t="n"/>
      <c r="K20" s="100" t="n"/>
      <c r="L20" s="100" t="n"/>
      <c r="M20" s="100" t="n"/>
      <c r="N20" s="100" t="n"/>
      <c r="O20" s="100" t="n"/>
      <c r="P20" s="100" t="n"/>
      <c r="Q20" s="100" t="n"/>
      <c r="R20" s="100" t="n"/>
      <c r="S20" s="101" t="n"/>
      <c r="T20" s="61" t="n"/>
    </row>
    <row r="21" ht="24" customHeight="1" s="99">
      <c r="A21" s="56" t="inlineStr">
        <is>
          <t>🟠 Przed przysiadem</t>
        </is>
      </c>
      <c r="B21" s="88" t="inlineStr">
        <is>
          <t>Gryf (20 kg) × 10 powt.</t>
        </is>
      </c>
      <c r="C21" s="100" t="n"/>
      <c r="D21" s="100" t="n"/>
      <c r="E21" s="101" t="n"/>
      <c r="F21" s="58" t="inlineStr">
        <is>
          <t>–</t>
        </is>
      </c>
      <c r="G21" s="96" t="inlineStr">
        <is>
          <t>czysty ruch, sprawdzasz mobilność</t>
        </is>
      </c>
      <c r="H21" s="100" t="n"/>
      <c r="I21" s="100" t="n"/>
      <c r="J21" s="100" t="n"/>
      <c r="K21" s="100" t="n"/>
      <c r="L21" s="100" t="n"/>
      <c r="M21" s="100" t="n"/>
      <c r="N21" s="100" t="n"/>
      <c r="O21" s="100" t="n"/>
      <c r="P21" s="100" t="n"/>
      <c r="Q21" s="100" t="n"/>
      <c r="R21" s="100" t="n"/>
      <c r="S21" s="101" t="n"/>
      <c r="T21" s="89" t="n"/>
    </row>
    <row r="22" ht="24" customHeight="1" s="99">
      <c r="A22" s="25" t="inlineStr">
        <is>
          <t>🟠 Przed przysiadem</t>
        </is>
      </c>
      <c r="B22" s="60" t="inlineStr">
        <is>
          <t>40 kg × 6 powt.</t>
        </is>
      </c>
      <c r="C22" s="100" t="n"/>
      <c r="D22" s="100" t="n"/>
      <c r="E22" s="101" t="n"/>
      <c r="F22" s="59" t="inlineStr">
        <is>
          <t>–</t>
        </is>
      </c>
      <c r="G22" s="70" t="inlineStr">
        <is>
          <t>zaczyna być czuć obciążenie</t>
        </is>
      </c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1" t="n"/>
      <c r="T22" s="61" t="n"/>
    </row>
    <row r="23" ht="24" customHeight="1" s="99">
      <c r="A23" s="56" t="inlineStr">
        <is>
          <t>🟠 Przed przysiadem</t>
        </is>
      </c>
      <c r="B23" s="88" t="inlineStr">
        <is>
          <t>60 kg × 4 powt.</t>
        </is>
      </c>
      <c r="C23" s="100" t="n"/>
      <c r="D23" s="100" t="n"/>
      <c r="E23" s="101" t="n"/>
      <c r="F23" s="58" t="inlineStr">
        <is>
          <t>–</t>
        </is>
      </c>
      <c r="G23" s="96" t="inlineStr">
        <is>
          <t>technika nadal priorytetem</t>
        </is>
      </c>
      <c r="H23" s="100" t="n"/>
      <c r="I23" s="100" t="n"/>
      <c r="J23" s="100" t="n"/>
      <c r="K23" s="100" t="n"/>
      <c r="L23" s="100" t="n"/>
      <c r="M23" s="100" t="n"/>
      <c r="N23" s="100" t="n"/>
      <c r="O23" s="100" t="n"/>
      <c r="P23" s="100" t="n"/>
      <c r="Q23" s="100" t="n"/>
      <c r="R23" s="100" t="n"/>
      <c r="S23" s="101" t="n"/>
      <c r="T23" s="89" t="n"/>
    </row>
    <row r="24" ht="24" customHeight="1" s="99">
      <c r="A24" s="25" t="inlineStr">
        <is>
          <t>🟠 Przed przysiadem</t>
        </is>
      </c>
      <c r="B24" s="60" t="inlineStr">
        <is>
          <t>70 kg × 2 powt.</t>
        </is>
      </c>
      <c r="C24" s="100" t="n"/>
      <c r="D24" s="100" t="n"/>
      <c r="E24" s="101" t="n"/>
      <c r="F24" s="59" t="inlineStr">
        <is>
          <t>–</t>
        </is>
      </c>
      <c r="G24" s="70" t="inlineStr">
        <is>
          <t>ostatni skok przed roboczymi</t>
        </is>
      </c>
      <c r="H24" s="100" t="n"/>
      <c r="I24" s="100" t="n"/>
      <c r="J24" s="100" t="n"/>
      <c r="K24" s="100" t="n"/>
      <c r="L24" s="100" t="n"/>
      <c r="M24" s="100" t="n"/>
      <c r="N24" s="100" t="n"/>
      <c r="O24" s="100" t="n"/>
      <c r="P24" s="100" t="n"/>
      <c r="Q24" s="100" t="n"/>
      <c r="R24" s="100" t="n"/>
      <c r="S24" s="101" t="n"/>
      <c r="T24" s="61" t="n"/>
    </row>
    <row r="25" ht="24" customHeight="1" s="99">
      <c r="A25" s="56" t="inlineStr">
        <is>
          <t>🟠 Przed RDL</t>
        </is>
      </c>
      <c r="B25" s="88" t="inlineStr">
        <is>
          <t>30 kg × 8 powt.</t>
        </is>
      </c>
      <c r="C25" s="100" t="n"/>
      <c r="D25" s="100" t="n"/>
      <c r="E25" s="101" t="n"/>
      <c r="F25" s="58" t="inlineStr">
        <is>
          <t>–</t>
        </is>
      </c>
      <c r="G25" s="96" t="inlineStr">
        <is>
          <t>1 lekka seria – ustawienie techniki</t>
        </is>
      </c>
      <c r="H25" s="100" t="n"/>
      <c r="I25" s="100" t="n"/>
      <c r="J25" s="100" t="n"/>
      <c r="K25" s="100" t="n"/>
      <c r="L25" s="100" t="n"/>
      <c r="M25" s="100" t="n"/>
      <c r="N25" s="100" t="n"/>
      <c r="O25" s="100" t="n"/>
      <c r="P25" s="100" t="n"/>
      <c r="Q25" s="100" t="n"/>
      <c r="R25" s="100" t="n"/>
      <c r="S25" s="101" t="n"/>
      <c r="T25" s="89" t="n"/>
    </row>
    <row r="26" ht="24" customHeight="1" s="99">
      <c r="A26" s="25" t="inlineStr">
        <is>
          <t>🟠 Przed hip thrustem</t>
        </is>
      </c>
      <c r="B26" s="60" t="inlineStr">
        <is>
          <t>Mostek biodrowy BW × 10 (opcjonalnie)</t>
        </is>
      </c>
      <c r="C26" s="100" t="n"/>
      <c r="D26" s="100" t="n"/>
      <c r="E26" s="101" t="n"/>
      <c r="F26" s="59" t="inlineStr">
        <is>
          <t>–</t>
        </is>
      </c>
      <c r="G26" s="70" t="inlineStr">
        <is>
          <t>jeśli nie czujesz połączenia z pośladkami</t>
        </is>
      </c>
      <c r="H26" s="100" t="n"/>
      <c r="I26" s="100" t="n"/>
      <c r="J26" s="100" t="n"/>
      <c r="K26" s="100" t="n"/>
      <c r="L26" s="100" t="n"/>
      <c r="M26" s="100" t="n"/>
      <c r="N26" s="100" t="n"/>
      <c r="O26" s="100" t="n"/>
      <c r="P26" s="100" t="n"/>
      <c r="Q26" s="100" t="n"/>
      <c r="R26" s="100" t="n"/>
      <c r="S26" s="101" t="n"/>
      <c r="T26" s="61" t="n"/>
    </row>
    <row r="27" ht="18" customHeight="1" s="99">
      <c r="A27" s="69" t="inlineStr">
        <is>
          <t>⚠  Rozgrzewka przed nogami jest najdłuższa – zaplanuj 12–15 min zanim wejdziesz pod sztangę.</t>
        </is>
      </c>
    </row>
  </sheetData>
  <mergeCells count="36">
    <mergeCell ref="J6:L6"/>
    <mergeCell ref="G14:S14"/>
    <mergeCell ref="G6:I6"/>
    <mergeCell ref="B15:E15"/>
    <mergeCell ref="G26:S26"/>
    <mergeCell ref="G20:S20"/>
    <mergeCell ref="B24:E24"/>
    <mergeCell ref="B20:E20"/>
    <mergeCell ref="M6:O6"/>
    <mergeCell ref="G25:S25"/>
    <mergeCell ref="A11:T11"/>
    <mergeCell ref="G16:S16"/>
    <mergeCell ref="A1:T1"/>
    <mergeCell ref="B26:E26"/>
    <mergeCell ref="G22:S22"/>
    <mergeCell ref="A13:T13"/>
    <mergeCell ref="B16:E16"/>
    <mergeCell ref="B25:E25"/>
    <mergeCell ref="G21:S21"/>
    <mergeCell ref="B22:E22"/>
    <mergeCell ref="A27:T27"/>
    <mergeCell ref="B18:E18"/>
    <mergeCell ref="G17:S17"/>
    <mergeCell ref="G23:S23"/>
    <mergeCell ref="B21:E21"/>
    <mergeCell ref="A2:T2"/>
    <mergeCell ref="B14:E14"/>
    <mergeCell ref="G19:S19"/>
    <mergeCell ref="A5:T5"/>
    <mergeCell ref="B23:E23"/>
    <mergeCell ref="B17:E17"/>
    <mergeCell ref="G18:S18"/>
    <mergeCell ref="B19:E19"/>
    <mergeCell ref="G15:S15"/>
    <mergeCell ref="P6:R6"/>
    <mergeCell ref="G24:S24"/>
  </mergeCells>
  <pageMargins left="0.75" right="0.75" top="1" bottom="1" header="0.5" footer="0.5"/>
  <headerFooter>
    <oddHeader/>
    <oddFooter>&amp;C&amp;"Aptos"&amp;10 &amp;K000000_x000d_# DSV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2026-06-02T08:58:15Z</dcterms:created>
  <dcterms:modified xsi:type="dcterms:W3CDTF">2026-07-06T08:03:13Z</dcterms:modified>
  <cp:lastModifiedBy>Office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6c1fee-2f04-49ca-98cf-bcf61896c7fa_ContentBits" fmtid="{D5CDD505-2E9C-101B-9397-08002B2CF9AE}" pid="2">
    <vt:lpwstr>2</vt:lpwstr>
  </property>
  <property name="MSIP_Label_fc6c1fee-2f04-49ca-98cf-bcf61896c7fa_Tag" fmtid="{D5CDD505-2E9C-101B-9397-08002B2CF9AE}" pid="3">
    <vt:lpwstr>10, 3, 0, 1</vt:lpwstr>
  </property>
  <property name="MSIP_Label_fc6c1fee-2f04-49ca-98cf-bcf61896c7fa_SiteId" fmtid="{D5CDD505-2E9C-101B-9397-08002B2CF9AE}" pid="4">
    <vt:lpwstr>4a90c23a-3ece-4ef2-b857-522f23b8204c</vt:lpwstr>
  </property>
  <property name="MSIP_Label_fc6c1fee-2f04-49ca-98cf-bcf61896c7fa_ActionId" fmtid="{D5CDD505-2E9C-101B-9397-08002B2CF9AE}" pid="5">
    <vt:lpwstr>79faf6d9-b91e-41e4-98ae-e90a4d6833e9</vt:lpwstr>
  </property>
  <property name="MSIP_Label_fc6c1fee-2f04-49ca-98cf-bcf61896c7fa_SetDate" fmtid="{D5CDD505-2E9C-101B-9397-08002B2CF9AE}" pid="6">
    <vt:lpwstr>2026-06-02T13:01:15Z</vt:lpwstr>
  </property>
  <property name="MSIP_Label_fc6c1fee-2f04-49ca-98cf-bcf61896c7fa_Method" fmtid="{D5CDD505-2E9C-101B-9397-08002B2CF9AE}" pid="7">
    <vt:lpwstr>Standard</vt:lpwstr>
  </property>
  <property name="MSIP_Label_fc6c1fee-2f04-49ca-98cf-bcf61896c7fa_Enabled" fmtid="{D5CDD505-2E9C-101B-9397-08002B2CF9AE}" pid="8">
    <vt:lpwstr>true</vt:lpwstr>
  </property>
  <property name="ICV" fmtid="{D5CDD505-2E9C-101B-9397-08002B2CF9AE}" pid="9">
    <vt:lpwstr>640660c9304b444a82ea5cf162951d24</vt:lpwstr>
  </property>
  <property name="MSIP_Label_fc6c1fee-2f04-49ca-98cf-bcf61896c7fa_Name" fmtid="{D5CDD505-2E9C-101B-9397-08002B2CF9AE}" pid="10">
    <vt:lpwstr>Internal</vt:lpwstr>
  </property>
</Properties>
</file>