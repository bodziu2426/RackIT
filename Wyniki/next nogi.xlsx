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NOGI – Uda · Posladk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9"/>
    </font>
    <font>
      <name val="Calibri"/>
      <b val="1"/>
      <sz val="11"/>
    </font>
    <font>
      <name val="Calibri"/>
      <i val="1"/>
      <sz val="9"/>
    </font>
  </fonts>
  <fills count="9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4" borderId="0" pivotButton="0" quotePrefix="0" xfId="0"/>
    <xf numFmtId="0" fontId="0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0" fillId="0" borderId="1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8" borderId="1" pivotButton="0" quotePrefix="0" xfId="0"/>
    <xf numFmtId="49" fontId="0" fillId="0" borderId="1" applyAlignment="1" pivotButton="0" quotePrefix="0" xfId="0">
      <alignment horizontal="center"/>
    </xf>
    <xf numFmtId="0" fontId="2" fillId="0" borderId="1" pivotButton="0" quotePrefix="0" xfId="0"/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tabSelected="1" topLeftCell="C1" workbookViewId="0">
      <selection activeCell="Q15" sqref="Q15"/>
    </sheetView>
  </sheetViews>
  <sheetFormatPr baseColWidth="8" defaultRowHeight="15"/>
  <cols>
    <col width="16.7109375" bestFit="1" customWidth="1" style="20" min="1" max="1"/>
    <col width="47.140625" customWidth="1" style="20" min="2" max="2"/>
    <col width="7" bestFit="1" customWidth="1" style="4" min="3" max="3"/>
    <col width="9.140625" bestFit="1" customWidth="1" style="4" min="4" max="4"/>
    <col width="12" bestFit="1" customWidth="1" style="20" min="5" max="5"/>
    <col width="36.28515625" bestFit="1" customWidth="1" style="20" min="6" max="6"/>
    <col width="10" customWidth="1" style="4" min="7" max="7"/>
    <col width="7" customWidth="1" style="4" min="8" max="8"/>
    <col width="28" customWidth="1" style="20" min="9" max="9"/>
    <col width="10" customWidth="1" style="4" min="10" max="10"/>
    <col width="7" customWidth="1" style="4" min="11" max="11"/>
    <col width="28" customWidth="1" style="20" min="12" max="12"/>
    <col width="10" customWidth="1" style="4" min="13" max="13"/>
    <col width="7" customWidth="1" style="4" min="14" max="14"/>
    <col width="28" customWidth="1" style="20" min="15" max="15"/>
    <col width="24" customWidth="1" style="20" min="16" max="16"/>
    <col width="34" customWidth="1" style="20" min="17" max="17"/>
  </cols>
  <sheetData>
    <row r="1" ht="17.25" customHeight="1" s="20">
      <c r="A1" s="23" t="inlineStr">
        <is>
          <t>NOGI – Uda · Posladki · Stabilnosc</t>
        </is>
      </c>
    </row>
    <row r="2">
      <c r="A2" t="inlineStr">
        <is>
          <t>Progresja: gdy ostatnia seria przekracza gorny pulap zakresu -&gt; nastepny trening dodaj 2,5 kg (izolacja: +1 kg)</t>
        </is>
      </c>
    </row>
    <row r="5">
      <c r="A5" s="19" t="inlineStr">
        <is>
          <t>TRENING WLASCIWY</t>
        </is>
      </c>
    </row>
    <row r="6">
      <c r="G6" s="21" t="inlineStr">
        <is>
          <t>SERIA 1</t>
        </is>
      </c>
      <c r="J6" s="21" t="inlineStr">
        <is>
          <t>SERIA 2</t>
        </is>
      </c>
      <c r="M6" s="21" t="inlineStr">
        <is>
          <t>SERIA 3</t>
        </is>
      </c>
    </row>
    <row r="7" ht="42" customHeight="1" s="20">
      <c r="A7" s="1" t="inlineStr">
        <is>
          <t>#</t>
        </is>
      </c>
      <c r="B7" s="1" t="inlineStr">
        <is>
          <t>Cwiczenie</t>
        </is>
      </c>
      <c r="C7" s="1" t="inlineStr">
        <is>
          <t>Serie
w planie</t>
        </is>
      </c>
      <c r="D7" s="1" t="inlineStr">
        <is>
          <t>Zakres
powt.</t>
        </is>
      </c>
      <c r="E7" s="1" t="inlineStr">
        <is>
          <t>Ciezar startowy</t>
        </is>
      </c>
      <c r="F7" s="1" t="inlineStr">
        <is>
          <t>Ostatnia seria
do upadku?</t>
        </is>
      </c>
      <c r="G7" s="1" t="inlineStr">
        <is>
          <t>Ciezar
(kg)</t>
        </is>
      </c>
      <c r="H7" s="1" t="inlineStr">
        <is>
          <t>Powt.</t>
        </is>
      </c>
      <c r="I7" s="1" t="inlineStr">
        <is>
          <t>RIR cel
+ wskazowka</t>
        </is>
      </c>
      <c r="J7" s="1" t="inlineStr">
        <is>
          <t>Ciezar
(kg)</t>
        </is>
      </c>
      <c r="K7" s="1" t="inlineStr">
        <is>
          <t>Powt.</t>
        </is>
      </c>
      <c r="L7" s="1" t="inlineStr">
        <is>
          <t>RIR cel
+ wskazowka</t>
        </is>
      </c>
      <c r="M7" s="1" t="inlineStr">
        <is>
          <t>Ciezar
(kg)</t>
        </is>
      </c>
      <c r="N7" s="1" t="inlineStr">
        <is>
          <t>Powt.</t>
        </is>
      </c>
      <c r="O7" s="1" t="inlineStr">
        <is>
          <t>RIR cel
+ wskazowka</t>
        </is>
      </c>
      <c r="P7" s="1" t="inlineStr">
        <is>
          <t>Dodac ciezar
nastepny trening?</t>
        </is>
      </c>
      <c r="Q7" s="1" t="inlineStr">
        <is>
          <t>Wskazowki techniczne</t>
        </is>
      </c>
    </row>
    <row r="8" ht="32.1" customHeight="1" s="20">
      <c r="A8" s="6" t="n">
        <v>1</v>
      </c>
      <c r="B8" s="7" t="inlineStr">
        <is>
          <t>Przysiad ze sztanga [PIRAMIDA]</t>
        </is>
      </c>
      <c r="C8" s="8" t="n">
        <v>3</v>
      </c>
      <c r="D8" s="8" t="inlineStr">
        <is>
          <t>5-8</t>
        </is>
      </c>
      <c r="E8" s="6" t="n">
        <v>70</v>
      </c>
      <c r="F8" s="6" t="inlineStr">
        <is>
          <t>NIE – bezpieczenstwo kregoslupa</t>
        </is>
      </c>
      <c r="G8" s="15" t="n">
        <v>75</v>
      </c>
      <c r="H8" s="15" t="n"/>
      <c r="I8" s="9" t="inlineStr">
        <is>
          <t>RIR 3  –  5-6 powt., 3 w zapasie</t>
        </is>
      </c>
      <c r="J8" s="16" t="n">
        <v>80</v>
      </c>
      <c r="K8" s="16" t="n"/>
      <c r="L8" s="10" t="inlineStr">
        <is>
          <t>RIR 2  –  6-7 powt., 2 w zapasie</t>
        </is>
      </c>
      <c r="M8" s="17" t="n">
        <v>85</v>
      </c>
      <c r="N8" s="17" t="n"/>
      <c r="O8" s="11" t="inlineStr">
        <is>
          <t>RIR 1-2  –  7-8 powt., NIE do upadku!</t>
        </is>
      </c>
      <c r="P8">
        <f>IF(N8="","-",IF(ISNUMBER(N8),IF(N8&gt;8,"TAK – dodaj 2,5 kg","NIE – zostan z ciezarem"),"-"))</f>
        <v/>
      </c>
      <c r="Q8" s="2" t="inlineStr">
        <is>
          <t>stopy szerzej niz biodra, kolana nad stopami, pelny zakres ruchu</t>
        </is>
      </c>
    </row>
    <row r="9" ht="32.1" customHeight="1" s="20">
      <c r="A9" s="6" t="n">
        <v>2</v>
      </c>
      <c r="B9" s="7" t="inlineStr">
        <is>
          <t>Bulgarian Split Squat [STALY]</t>
        </is>
      </c>
      <c r="C9" s="8" t="n">
        <v>3</v>
      </c>
      <c r="D9" s="13" t="inlineStr">
        <is>
          <t>8-10</t>
        </is>
      </c>
      <c r="E9" s="6" t="inlineStr">
        <is>
          <t>2x5</t>
        </is>
      </c>
      <c r="F9" s="6" t="inlineStr">
        <is>
          <t>TAK – ostatnia seria do upadku</t>
        </is>
      </c>
      <c r="G9" s="15" t="inlineStr">
        <is>
          <t>2x10</t>
        </is>
      </c>
      <c r="H9" s="15" t="n"/>
      <c r="I9" s="9" t="inlineStr">
        <is>
          <t>RIR 2  –  8 powt., 2 w zapasie</t>
        </is>
      </c>
      <c r="J9" s="16" t="inlineStr">
        <is>
          <t>2x10</t>
        </is>
      </c>
      <c r="K9" s="16" t="n"/>
      <c r="L9" s="10" t="inlineStr">
        <is>
          <t>RIR 1  –  9-10 powt., 1 w zapasie</t>
        </is>
      </c>
      <c r="M9" s="17" t="inlineStr">
        <is>
          <t>2x10</t>
        </is>
      </c>
      <c r="N9" s="17" t="n"/>
      <c r="O9" s="11" t="inlineStr">
        <is>
          <t>RIR 0  –  DO UPADKU min 10</t>
        </is>
      </c>
      <c r="P9">
        <f>IF(N9="","-",IF(ISNUMBER(N9),IF(N9&gt;10,"TAK – dodaj ciezar (hantle)","NIE – zostan z ciezarem"),"-"))</f>
        <v/>
      </c>
      <c r="Q9" s="2" t="inlineStr">
        <is>
          <t>tylna noga na lawce, biodra w dol, kolano nad stopa przodniej nogi</t>
        </is>
      </c>
    </row>
    <row r="10" ht="32.1" customHeight="1" s="20">
      <c r="A10" s="6" t="n">
        <v>3</v>
      </c>
      <c r="B10" s="7" t="inlineStr">
        <is>
          <t>Hip Thrust ze sztanga [PIRAMIDA]</t>
        </is>
      </c>
      <c r="C10" s="8" t="n">
        <v>3</v>
      </c>
      <c r="D10" s="8" t="inlineStr">
        <is>
          <t>10-12</t>
        </is>
      </c>
      <c r="E10" s="6" t="n">
        <v>50</v>
      </c>
      <c r="F10" s="6" t="inlineStr">
        <is>
          <t>TAK – ostatnia seria do upadku</t>
        </is>
      </c>
      <c r="G10" s="15" t="n">
        <v>55</v>
      </c>
      <c r="H10" s="15" t="n"/>
      <c r="I10" s="9" t="inlineStr">
        <is>
          <t>RIR 2  –  10 powt., 2 w zapasie</t>
        </is>
      </c>
      <c r="J10" s="16" t="n">
        <v>65</v>
      </c>
      <c r="K10" s="16" t="n"/>
      <c r="L10" s="10" t="inlineStr">
        <is>
          <t>RIR 1  –  11-12 powt., 1 w zapasie</t>
        </is>
      </c>
      <c r="M10" s="17" t="n">
        <v>70</v>
      </c>
      <c r="N10" s="17" t="n"/>
      <c r="O10" s="11" t="inlineStr">
        <is>
          <t>RIR 0  –  DO UPADKU min 12</t>
        </is>
      </c>
      <c r="P10">
        <f>IF(N10="","-",IF(ISNUMBER(N10),IF(N10&gt;12,"TAK – dodaj 2,5 kg","NIE – zostan z ciezarem"),"-"))</f>
        <v/>
      </c>
      <c r="Q10" s="2" t="inlineStr">
        <is>
          <t>lopatki na lawce, pelne wypchnięcie bioder, scisniete posladki w gorze</t>
        </is>
      </c>
    </row>
    <row r="11" ht="32.1" customHeight="1" s="20">
      <c r="A11" s="6" t="n">
        <v>4</v>
      </c>
      <c r="B11" s="14" t="inlineStr">
        <is>
          <t>Leg Curl – uginanie nog - 1 noga</t>
        </is>
      </c>
      <c r="C11" s="8" t="n">
        <v>3</v>
      </c>
      <c r="D11" s="8" t="inlineStr">
        <is>
          <t>10-12</t>
        </is>
      </c>
      <c r="E11" s="6" t="n">
        <v>25</v>
      </c>
      <c r="F11" s="6" t="inlineStr">
        <is>
          <t>TAK – ostatnia seria do upadku</t>
        </is>
      </c>
      <c r="G11" s="15" t="n">
        <v>27.5</v>
      </c>
      <c r="H11" s="15" t="n"/>
      <c r="I11" s="9" t="inlineStr">
        <is>
          <t>RIR 2  –  10 powt., 2 w zapasie</t>
        </is>
      </c>
      <c r="J11" s="16" t="n">
        <v>27.5</v>
      </c>
      <c r="K11" s="16" t="n"/>
      <c r="L11" s="10" t="inlineStr">
        <is>
          <t>RIR 1  –  11-12 powt., 1 w zapasie</t>
        </is>
      </c>
      <c r="M11" s="17" t="n">
        <v>27.5</v>
      </c>
      <c r="N11" s="17" t="n"/>
      <c r="O11" s="11" t="inlineStr">
        <is>
          <t>RIR 0  –  DO UPADKU min 12</t>
        </is>
      </c>
      <c r="P11">
        <f>IF(N11="","-",IF(ISNUMBER(N11),IF(N11&gt;12,"TAK – dodaj 1 kg","NIE – zostan z ciezarem"),"-"))</f>
        <v/>
      </c>
      <c r="Q11" s="2" t="inlineStr">
        <is>
          <t>kontrolowane opuszczanie, pelny zakres – nie urywaj ruchu</t>
        </is>
      </c>
    </row>
    <row r="12" ht="32.1" customHeight="1" s="20">
      <c r="A12" s="6" t="n">
        <v>5</v>
      </c>
      <c r="B12" s="14" t="inlineStr">
        <is>
          <t>Odwodzenie na wyciagu jednonóż [STALY]</t>
        </is>
      </c>
      <c r="C12" s="8" t="n">
        <v>3</v>
      </c>
      <c r="D12" s="8" t="inlineStr">
        <is>
          <t>12-15</t>
        </is>
      </c>
      <c r="E12" s="6" t="n">
        <v>6.25</v>
      </c>
      <c r="F12" s="6" t="inlineStr">
        <is>
          <t>TAK – ostatnia seria do upadku</t>
        </is>
      </c>
      <c r="G12" s="15" t="n">
        <v>7.5</v>
      </c>
      <c r="H12" s="15" t="n"/>
      <c r="I12" s="9" t="inlineStr">
        <is>
          <t>RIR 2  –  12-13 powt., 2 w zapasie</t>
        </is>
      </c>
      <c r="J12" s="16" t="n">
        <v>7.5</v>
      </c>
      <c r="K12" s="16" t="n"/>
      <c r="L12" s="10" t="inlineStr">
        <is>
          <t>RIR 1  –  13-14 powt., 1 w zapasie</t>
        </is>
      </c>
      <c r="M12" s="17" t="n">
        <v>7.5</v>
      </c>
      <c r="N12" s="17" t="n"/>
      <c r="O12" s="11" t="inlineStr">
        <is>
          <t>RIR 0  –  DO UPADKU min 15</t>
        </is>
      </c>
      <c r="P12">
        <f>IF(N12="","-",IF(ISNUMBER(N12),IF(N12&gt;15,"TAK – dodaj 1 kg","NIE – zostan z ciezarem"),"-"))</f>
        <v/>
      </c>
      <c r="Q12" s="2" t="inlineStr">
        <is>
          <t>lokiec lekko ugiety, kontrolowane opuszczanie, stabilne biodra</t>
        </is>
      </c>
    </row>
    <row r="13" ht="32.1" customHeight="1" s="20">
      <c r="A13" s="6" t="n">
        <v>6</v>
      </c>
      <c r="B13" s="7" t="inlineStr">
        <is>
          <t>Copenhagen Plank (przywodziciele)</t>
        </is>
      </c>
      <c r="C13" s="8" t="n">
        <v>2</v>
      </c>
      <c r="D13" s="8" t="n">
        <v>20</v>
      </c>
      <c r="E13" s="6" t="inlineStr">
        <is>
          <t>BW</t>
        </is>
      </c>
      <c r="F13" s="6" t="inlineStr">
        <is>
          <t>NIE – izometria do wyznaczonego czasu</t>
        </is>
      </c>
      <c r="G13" s="15" t="inlineStr">
        <is>
          <t>BW</t>
        </is>
      </c>
      <c r="H13" s="15" t="n">
        <v>25</v>
      </c>
      <c r="I13" s="9" t="inlineStr">
        <is>
          <t>trzymaj pozycje 10-15 sekund</t>
        </is>
      </c>
      <c r="J13" s="16" t="inlineStr">
        <is>
          <t>BW</t>
        </is>
      </c>
      <c r="K13" s="16" t="n">
        <v>25</v>
      </c>
      <c r="L13" s="10" t="inlineStr">
        <is>
          <t>trzymaj pozycje 10-15 sekund</t>
        </is>
      </c>
      <c r="M13" s="18" t="n"/>
      <c r="N13" s="18" t="n"/>
      <c r="O13" s="12" t="n"/>
      <c r="P13">
        <f>IF(K13="","-",IF(ISNUMBER(K13),IF(K13&gt;15,"TAK – zwieksz czas","NIE – zostan z czasem"),"-"))</f>
        <v/>
      </c>
      <c r="Q13" s="2" t="inlineStr">
        <is>
          <t>gorna noga na lawce, dolna uniesiona – utrzymaj biodra w linii</t>
        </is>
      </c>
    </row>
    <row r="14">
      <c r="A14" s="22" t="inlineStr">
        <is>
          <t>Kolory: zielony=RIR 3, niebieski=RIR 2, pomaranczowy=RIR 1, czerwony=RIR 0/upadek. Szare pola = seria nie w planie.</t>
        </is>
      </c>
    </row>
    <row r="16">
      <c r="A16" s="19" t="inlineStr">
        <is>
          <t>ROZGRZEWKA – NOGI</t>
        </is>
      </c>
    </row>
    <row r="17">
      <c r="A17" s="3" t="inlineStr">
        <is>
          <t>Faza</t>
        </is>
      </c>
      <c r="B17" s="3" t="inlineStr">
        <is>
          <t>Cwiczenie / aktywnosc</t>
        </is>
      </c>
      <c r="C17" s="5" t="n"/>
      <c r="D17" s="5" t="n"/>
      <c r="E17" s="3" t="n"/>
      <c r="F17" s="3" t="inlineStr">
        <is>
          <t>Czas</t>
        </is>
      </c>
      <c r="G17" s="5" t="inlineStr">
        <is>
          <t>Wskazowka</t>
        </is>
      </c>
    </row>
    <row r="18" ht="20.1" customHeight="1" s="20">
      <c r="A18" t="inlineStr">
        <is>
          <t>Ogolna</t>
        </is>
      </c>
      <c r="B18" t="inlineStr">
        <is>
          <t>Rower / orbitrek</t>
        </is>
      </c>
      <c r="F18" t="inlineStr">
        <is>
          <t>5 min</t>
        </is>
      </c>
      <c r="G18" s="4" t="inlineStr">
        <is>
          <t>umiarkowane tempo – podniesienie tetna i temperatury miesni</t>
        </is>
      </c>
    </row>
    <row r="19" ht="20.1" customHeight="1" s="20">
      <c r="A19" t="inlineStr">
        <is>
          <t>Mobilnosc biodra</t>
        </is>
      </c>
      <c r="B19" t="inlineStr">
        <is>
          <t>Hip CARs – powolne krazenia (5 powt./strone)</t>
        </is>
      </c>
      <c r="F19" t="inlineStr">
        <is>
          <t>5 min</t>
        </is>
      </c>
      <c r="G19" s="4" t="inlineStr">
        <is>
          <t>pelny zakres ruchu, kontrolowane – kluczowe dla squasha</t>
        </is>
      </c>
    </row>
    <row r="20" ht="20.1" customHeight="1" s="20">
      <c r="A20" t="inlineStr">
        <is>
          <t>Przed przysiadem</t>
        </is>
      </c>
      <c r="B20" t="inlineStr">
        <is>
          <t>Goblet Squat z hantlem (lekkim) x 10 powt.</t>
        </is>
      </c>
      <c r="F20" t="inlineStr">
        <is>
          <t>-</t>
        </is>
      </c>
      <c r="G20" s="4" t="inlineStr">
        <is>
          <t>skupiasz sie na glebokosci i torze kolan</t>
        </is>
      </c>
    </row>
    <row r="21" ht="20.1" customHeight="1" s="20">
      <c r="A21" t="inlineStr">
        <is>
          <t>Przed przysiadem</t>
        </is>
      </c>
      <c r="B21" t="inlineStr">
        <is>
          <t>Gryf (20 kg) x 5 powt. – wolno</t>
        </is>
      </c>
      <c r="F21" t="inlineStr">
        <is>
          <t>-</t>
        </is>
      </c>
      <c r="G21" s="4" t="inlineStr">
        <is>
          <t>czujesz ruch, sprawdzasz zakres</t>
        </is>
      </c>
    </row>
    <row r="22" ht="20.1" customHeight="1" s="20">
      <c r="A22" t="inlineStr">
        <is>
          <t>UWAGA</t>
        </is>
      </c>
      <c r="B22" t="inlineStr">
        <is>
          <t>NIE rozciagaj statycznie przed treningiem – oslabienie sily!</t>
        </is>
      </c>
    </row>
  </sheetData>
  <mergeCells count="8">
    <mergeCell ref="A14:Q14"/>
    <mergeCell ref="J6:L6"/>
    <mergeCell ref="G6:I6"/>
    <mergeCell ref="A16:Q16"/>
    <mergeCell ref="A2:Q2"/>
    <mergeCell ref="M6:O6"/>
    <mergeCell ref="A1:Q1"/>
    <mergeCell ref="A5:Q5"/>
  </mergeCells>
  <pageMargins left="0.75" right="0.75" top="1" bottom="1" header="0.5" footer="0.5"/>
  <headerFooter>
    <oddHeader/>
    <oddFooter>&amp;C&amp;"Aptos"&amp;10 &amp;K000000_x000d_# DSV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2026-06-17T14:37:10Z</dcterms:created>
  <dcterms:modified xmlns:dcterms="http://purl.org/dc/terms/" xmlns:xsi="http://www.w3.org/2001/XMLSchema-instance" xsi:type="dcterms:W3CDTF">2026-07-09T18:11:51Z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MSIP_Label_fc6c1fee-2f04-49ca-98cf-bcf61896c7fa_Enabled" fmtid="{D5CDD505-2E9C-101B-9397-08002B2CF9AE}" pid="2">
    <vt:lpwstr xmlns:vt="http://schemas.openxmlformats.org/officeDocument/2006/docPropsVTypes">true</vt:lpwstr>
  </property>
  <property name="MSIP_Label_fc6c1fee-2f04-49ca-98cf-bcf61896c7fa_SetDate" fmtid="{D5CDD505-2E9C-101B-9397-08002B2CF9AE}" pid="3">
    <vt:lpwstr xmlns:vt="http://schemas.openxmlformats.org/officeDocument/2006/docPropsVTypes">2026-06-18T08:37:21Z</vt:lpwstr>
  </property>
  <property name="MSIP_Label_fc6c1fee-2f04-49ca-98cf-bcf61896c7fa_Method" fmtid="{D5CDD505-2E9C-101B-9397-08002B2CF9AE}" pid="4">
    <vt:lpwstr xmlns:vt="http://schemas.openxmlformats.org/officeDocument/2006/docPropsVTypes">Standard</vt:lpwstr>
  </property>
  <property name="MSIP_Label_fc6c1fee-2f04-49ca-98cf-bcf61896c7fa_Name" fmtid="{D5CDD505-2E9C-101B-9397-08002B2CF9AE}" pid="5">
    <vt:lpwstr xmlns:vt="http://schemas.openxmlformats.org/officeDocument/2006/docPropsVTypes">Internal</vt:lpwstr>
  </property>
  <property name="MSIP_Label_fc6c1fee-2f04-49ca-98cf-bcf61896c7fa_SiteId" fmtid="{D5CDD505-2E9C-101B-9397-08002B2CF9AE}" pid="6">
    <vt:lpwstr xmlns:vt="http://schemas.openxmlformats.org/officeDocument/2006/docPropsVTypes">4a90c23a-3ece-4ef2-b857-522f23b8204c</vt:lpwstr>
  </property>
  <property name="MSIP_Label_fc6c1fee-2f04-49ca-98cf-bcf61896c7fa_ActionId" fmtid="{D5CDD505-2E9C-101B-9397-08002B2CF9AE}" pid="7">
    <vt:lpwstr xmlns:vt="http://schemas.openxmlformats.org/officeDocument/2006/docPropsVTypes">837c6462-2b0d-417b-9816-96296d0440d5</vt:lpwstr>
  </property>
  <property name="MSIP_Label_fc6c1fee-2f04-49ca-98cf-bcf61896c7fa_ContentBits" fmtid="{D5CDD505-2E9C-101B-9397-08002B2CF9AE}" pid="8">
    <vt:lpwstr xmlns:vt="http://schemas.openxmlformats.org/officeDocument/2006/docPropsVTypes">2</vt:lpwstr>
  </property>
  <property name="MSIP_Label_fc6c1fee-2f04-49ca-98cf-bcf61896c7fa_Tag" fmtid="{D5CDD505-2E9C-101B-9397-08002B2CF9AE}" pid="9">
    <vt:lpwstr xmlns:vt="http://schemas.openxmlformats.org/officeDocument/2006/docPropsVTypes">10, 3, 0, 1</vt:lpwstr>
  </property>
</Properties>
</file>