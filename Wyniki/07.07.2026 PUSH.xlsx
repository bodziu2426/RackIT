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8680" yWindow="-120" windowWidth="29040" windowHeight="15720" activeTab="0"/>
  </bookViews>
  <sheets>
    <sheet name="PUSH – Klatka · Barki · Triceps" sheetId="1" r:id="rId1"/>
  </sheets>
  <calcPr fullCalcOnLoad="1" calcId="191029"/>
</workbook>
</file>

<file path=xl/sharedStrings.xml><?xml version="1.0" encoding="utf-8"?>
<sst xmlns="http://schemas.openxmlformats.org/spreadsheetml/2006/main" uniqueCount="74" count="74">
  <si>
    <t>PUSH – Klatka · Barki · Triceps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</si>
  <si>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</si>
  <si>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</si>
  <si>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</si>
  <si>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</si>
  <si>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</si>
  <si>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</si>
  <si>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</si>
  <si>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</si>
  <si>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</si>
  <si>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</si>
  <si>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</si>
  <si>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</si>
  <si>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</si>
  <si>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</si>
  <si>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</si>
  <si>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</si>
  <si>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</si>
  <si>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</si>
  <si>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</si>
  <si>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</si>
  <si>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</si>
  <si>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</si>
  <si>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 min 8</t>
  </si>
  <si>
    <t>RIR 0  –  DO UPADKU min 8</t>
  </si>
  <si>
    <t>piramida – każda seria ciężej</t>
  </si>
  <si>
    <t>Wyciskanie hantlami – skośna +30°</t>
  </si>
  <si>
    <t>2x22,5</t>
  </si>
  <si>
    <t>3 s opuszczanie przez całą serię</t>
  </si>
  <si>
    <t>OHP sztangą</t>
  </si>
  <si>
    <t>6-8</t>
  </si>
  <si>
    <t>RIR 3  –  7–8 powt., 3 w zapasie</t>
  </si>
  <si>
    <t>RIR 2  –  8–9 powt., 2 w zapasie</t>
  </si>
  <si>
    <t>RIR 1  –  9–10 powt., 1 w zapasie</t>
  </si>
  <si>
    <t>RIR 0  –  DO UPADKU min 9</t>
  </si>
  <si>
    <t>Odwodzenie na wyciągu jednorącz</t>
  </si>
  <si>
    <t>12–15</t>
  </si>
  <si>
    <t>RIR 2  –  12–13 powt., 2 w zapasie</t>
  </si>
  <si>
    <t>RIR 1  –  13–14 powt., 1 w zapasie</t>
  </si>
  <si>
    <t>7,5</t>
  </si>
  <si>
    <t>RIR 0  –  DO UPADKU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</si>
  <si>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</si>
  <si>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</si>
  <si>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</si>
  <si>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</si>
  <si>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</si>
  <si>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2  –  10 powt., 2 w zapasie</t>
  </si>
  <si>
    <t>RIR 1  –  11 powt., 1 w zapasie</t>
  </si>
  <si>
    <t>bw</t>
  </si>
  <si>
    <t>tułów pionowo, łokcie blisko ciała</t>
  </si>
  <si>
    <t>Kolory RIR: zielony=RIR 3, niebieski=RIR 2, pomarańczowy=RIR 1, czerwony=RIR 0/upadek. Szare pola = seria nie w planie.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</si>
  <si>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</si>
  <si>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</si>
  <si>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</si>
  <si>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</si>
  <si>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</si>
  <si>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</si>
  <si>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</si>
  <si>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</si>
  <si>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</si>
  <si>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</si>
  <si>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</si>
  <si>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</si>
  <si>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</si>
  <si>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</si>
  <si>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</si>
  <si>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</si>
  <si>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</si>
  <si>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</si>
  <si>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</si>
  <si>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</si>
  <si>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</si>
  <si>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</si>
  <si>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2x25</t>
  </si>
</sst>
</file>

<file path=xl/styles.xml><?xml version="1.0" encoding="utf-8"?>
<styleSheet xmlns="http://schemas.openxmlformats.org/spreadsheetml/2006/main">
  <numFmts count="2">
    <numFmt numFmtId="0" formatCode="General"/>
    <numFmt numFmtId="16" formatCode="d-mmm"/>
  </numFmts>
  <fonts count="28">
    <font>
      <name val="Calibri"/>
      <sz val="11"/>
    </font>
    <font>
      <name val="Calibri"/>
      <sz val="11"/>
    </font>
    <font>
      <name val="Arial"/>
      <b/>
      <sz val="13"/>
      <color rgb="FFFFFFFF"/>
    </font>
    <font>
      <name val="Arial"/>
      <i/>
      <sz val="9"/>
      <color rgb="FF1565C0"/>
    </font>
    <font>
      <name val="Arial"/>
      <b/>
      <sz val="11"/>
      <color rgb="FFFFFFFF"/>
    </font>
    <font>
      <name val="Arial"/>
      <sz val="10"/>
      <color rgb="FFFFFFFF"/>
    </font>
    <font>
      <name val="Arial"/>
      <b/>
      <sz val="10"/>
      <color rgb="FFFFFFFF"/>
    </font>
    <font>
      <name val="Arial"/>
      <b/>
      <sz val="9"/>
      <color rgb="FFFFFFFF"/>
    </font>
    <font>
      <name val="Arial"/>
      <b/>
      <sz val="10"/>
      <color rgb="FF1565C0"/>
    </font>
    <font>
      <name val="Arial"/>
      <b/>
      <sz val="10"/>
      <color rgb="FF000000"/>
    </font>
    <font>
      <name val="Arial"/>
      <sz val="10"/>
      <color rgb="FF000000"/>
    </font>
    <font>
      <name val="Arial"/>
      <sz val="9"/>
      <color rgb="FF000000"/>
    </font>
    <font>
      <name val="Arial"/>
      <sz val="9"/>
      <color rgb="FF1B5E20"/>
    </font>
    <font>
      <name val="Arial"/>
      <sz val="9"/>
      <color rgb="FF1565C0"/>
    </font>
    <font>
      <name val="Arial"/>
      <sz val="9"/>
      <color rgb="FFE65100"/>
    </font>
    <font>
      <name val="Arial"/>
      <b/>
      <sz val="9"/>
      <color rgb="FFC62828"/>
    </font>
    <font>
      <name val="Arial"/>
      <i/>
      <sz val="9"/>
      <color rgb="FF555555"/>
    </font>
    <font>
      <name val="Arial"/>
      <sz val="10"/>
      <color rgb="FF000000"/>
    </font>
    <font>
      <name val="Arial"/>
      <sz val="10"/>
      <color rgb="FFCCCCCC"/>
    </font>
    <font>
      <name val="Arial"/>
      <sz val="9"/>
      <color rgb="FF555555"/>
    </font>
    <font>
      <name val="Calibri"/>
      <sz val="11"/>
      <color rgb="FF000000"/>
    </font>
    <font>
      <name val="Arial"/>
      <i/>
      <sz val="8"/>
      <color rgb="FF888888"/>
    </font>
    <font>
      <name val="Arial"/>
      <sz val="8"/>
      <color rgb="FF000000"/>
    </font>
    <font>
      <name val="Arial"/>
      <b/>
      <sz val="9"/>
      <color rgb="FF000000"/>
    </font>
    <font>
      <name val="Arial"/>
      <b/>
      <sz val="9"/>
      <color rgb="FF1A237E"/>
    </font>
    <font>
      <name val="Arial"/>
      <i/>
      <sz val="9"/>
      <color rgb="FF444444"/>
    </font>
    <font>
      <name val="Calibri"/>
      <sz val="11"/>
      <color rgb="FF000000"/>
    </font>
    <font>
      <name val="Arial"/>
      <i/>
      <sz val="9"/>
      <color rgb="FFBF360C"/>
    </font>
  </fonts>
  <fills count="1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2" borderId="0" xfId="0" applyAlignment="1">
      <alignment horizontal="center" vertical="center"/>
    </xf>
    <xf numFmtId="0" fontId="3" fillId="3" borderId="0" xfId="0" applyAlignment="1">
      <alignment horizontal="left" vertical="center"/>
    </xf>
    <xf numFmtId="0" fontId="4" fillId="2" borderId="0" xfId="0" applyAlignment="1">
      <alignment horizontal="left" vertical="center"/>
    </xf>
    <xf numFmtId="0" fontId="5" fillId="2" borderId="1" xfId="0" applyAlignment="1">
      <alignment horizontal="left" vertical="center"/>
    </xf>
    <xf numFmtId="0" fontId="6" fillId="2" borderId="1" xfId="0" applyAlignment="1">
      <alignment horizontal="center" vertical="center"/>
    </xf>
    <xf numFmtId="0" fontId="1" fillId="0" borderId="2" xfId="0" applyAlignment="1">
      <alignment vertical="bottom"/>
    </xf>
    <xf numFmtId="0" fontId="1" fillId="0" borderId="3" xfId="0" applyAlignment="1">
      <alignment vertical="bottom"/>
    </xf>
    <xf numFmtId="0" fontId="7" fillId="2" borderId="1" xfId="0" applyAlignment="1">
      <alignment horizontal="center" vertical="center" wrapText="1"/>
    </xf>
    <xf numFmtId="0" fontId="8" fillId="4" borderId="1" xfId="0" applyAlignment="1">
      <alignment horizontal="center" vertical="center"/>
    </xf>
    <xf numFmtId="0" fontId="9" fillId="4" borderId="1" xfId="0" applyAlignment="1">
      <alignment horizontal="left" vertical="center"/>
    </xf>
    <xf numFmtId="0" fontId="10" fillId="4" borderId="1" xfId="0" applyAlignment="1">
      <alignment horizontal="center" vertical="center"/>
    </xf>
    <xf numFmtId="0" fontId="11" fillId="4" borderId="4" xfId="0" applyAlignment="1">
      <alignment horizontal="center" vertical="center" wrapText="1"/>
    </xf>
    <xf numFmtId="0" fontId="12" fillId="5" borderId="1" xfId="0" applyAlignment="1">
      <alignment horizontal="center" vertical="center" wrapText="1"/>
    </xf>
    <xf numFmtId="0" fontId="12" fillId="5" borderId="1" xfId="0" applyAlignment="1">
      <alignment horizontal="left" vertical="center" wrapText="1"/>
    </xf>
    <xf numFmtId="0" fontId="13" fillId="4" borderId="1" xfId="0" applyAlignment="1">
      <alignment horizontal="left" vertical="center" wrapText="1"/>
    </xf>
    <xf numFmtId="0" fontId="14" fillId="6" borderId="1" xfId="0" applyAlignment="1">
      <alignment horizontal="left" vertical="center" wrapText="1"/>
    </xf>
    <xf numFmtId="0" fontId="15" fillId="7" borderId="1" xfId="0" applyAlignment="1">
      <alignment horizontal="left" vertical="center" wrapText="1"/>
    </xf>
    <xf numFmtId="0" fontId="16" fillId="4" borderId="1" xfId="0" applyAlignment="1">
      <alignment horizontal="left" vertical="center" wrapText="1"/>
    </xf>
    <xf numFmtId="0" fontId="8" fillId="8" borderId="1" xfId="0" applyAlignment="1">
      <alignment horizontal="center" vertical="center"/>
    </xf>
    <xf numFmtId="0" fontId="9" fillId="8" borderId="1" xfId="0" applyAlignment="1">
      <alignment horizontal="left" vertical="center"/>
    </xf>
    <xf numFmtId="0" fontId="10" fillId="8" borderId="1" xfId="0" applyAlignment="1">
      <alignment horizontal="center" vertical="center"/>
    </xf>
    <xf numFmtId="0" fontId="11" fillId="8" borderId="4" xfId="0" applyAlignment="1">
      <alignment horizontal="center" vertical="center" wrapText="1"/>
    </xf>
    <xf numFmtId="0" fontId="17" fillId="8" borderId="1" xfId="0" applyFont="1" applyAlignment="1">
      <alignment horizontal="center" vertical="center"/>
    </xf>
    <xf numFmtId="0" fontId="18" fillId="9" borderId="1" xfId="0" applyAlignment="1">
      <alignment horizontal="left" vertical="center"/>
    </xf>
    <xf numFmtId="0" fontId="16" fillId="8" borderId="1" xfId="0" applyAlignment="1">
      <alignment horizontal="left" vertical="center" wrapText="1"/>
    </xf>
    <xf numFmtId="16" fontId="10" fillId="4" borderId="1" xfId="0" applyAlignment="1" quotePrefix="1">
      <alignment horizontal="center" vertical="center"/>
    </xf>
    <xf numFmtId="0" fontId="19" fillId="4" borderId="1" xfId="0" applyAlignment="1">
      <alignment horizontal="left" vertical="center" wrapText="1"/>
    </xf>
    <xf numFmtId="0" fontId="20" fillId="0" borderId="0" xfId="0" applyAlignment="1">
      <alignment vertical="bottom"/>
    </xf>
    <xf numFmtId="0" fontId="21" fillId="10" borderId="0" xfId="0" applyAlignment="1">
      <alignment horizontal="left" vertical="center"/>
    </xf>
    <xf numFmtId="0" fontId="4" fillId="11" borderId="0" xfId="0" applyAlignment="1">
      <alignment horizontal="left" vertical="center"/>
    </xf>
    <xf numFmtId="0" fontId="7" fillId="11" borderId="1" xfId="0" applyAlignment="1">
      <alignment horizontal="center" vertical="center" wrapText="1"/>
    </xf>
    <xf numFmtId="0" fontId="5" fillId="11" borderId="1" xfId="0" applyAlignment="1">
      <alignment horizontal="left" vertical="center"/>
    </xf>
    <xf numFmtId="0" fontId="22" fillId="12" borderId="1" xfId="0" applyAlignment="1">
      <alignment horizontal="center" vertical="center" wrapText="1"/>
    </xf>
    <xf numFmtId="0" fontId="23" fillId="12" borderId="1" xfId="0" applyAlignment="1">
      <alignment horizontal="left" vertical="center"/>
    </xf>
    <xf numFmtId="0" fontId="24" fillId="12" borderId="1" xfId="0" applyAlignment="1">
      <alignment horizontal="center" vertical="center"/>
    </xf>
    <xf numFmtId="0" fontId="25" fillId="12" borderId="1" xfId="0" applyAlignment="1">
      <alignment horizontal="left" vertical="center"/>
    </xf>
    <xf numFmtId="0" fontId="26" fillId="12" borderId="1" xfId="0" applyAlignment="1">
      <alignment vertical="bottom"/>
    </xf>
    <xf numFmtId="0" fontId="22" fillId="8" borderId="1" xfId="0" applyAlignment="1">
      <alignment horizontal="center" vertical="center" wrapText="1"/>
    </xf>
    <xf numFmtId="0" fontId="23" fillId="8" borderId="1" xfId="0" applyAlignment="1">
      <alignment horizontal="left" vertical="center"/>
    </xf>
    <xf numFmtId="0" fontId="24" fillId="8" borderId="1" xfId="0" applyAlignment="1">
      <alignment horizontal="center" vertical="center"/>
    </xf>
    <xf numFmtId="0" fontId="25" fillId="8" borderId="1" xfId="0" applyAlignment="1">
      <alignment horizontal="left" vertical="center"/>
    </xf>
    <xf numFmtId="0" fontId="26" fillId="8" borderId="1" xfId="0" applyAlignment="1">
      <alignment vertical="bottom"/>
    </xf>
    <xf numFmtId="0" fontId="27" fillId="13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22"/>
  <sheetViews>
    <sheetView tabSelected="1" workbookViewId="0" topLeftCell="P1">
      <selection activeCell="Q12" sqref="Q12"/>
    </sheetView>
  </sheetViews>
  <sheetFormatPr defaultRowHeight="15.0" customHeight="1" defaultColWidth="14"/>
  <cols>
    <col min="1" max="1" customWidth="1" width="15.5703125" style="1"/>
    <col min="2" max="2" customWidth="1" width="33.85547" style="1"/>
    <col min="3" max="3" customWidth="1" width="5.8554688" style="1"/>
    <col min="4" max="4" customWidth="1" width="6.7109375" style="1"/>
    <col min="5" max="5" customWidth="1" width="22.140625" style="1"/>
    <col min="6" max="6" customWidth="1" width="13.855469" style="1"/>
    <col min="7" max="7" customWidth="1" width="6.140625" style="1"/>
    <col min="8" max="8" customWidth="1" width="5.5703125" style="1"/>
    <col min="9" max="9" customWidth="1" width="20.0" style="1"/>
    <col min="10" max="10" customWidth="1" width="6.140625" style="1"/>
    <col min="11" max="11" customWidth="1" width="5.5703125" style="1"/>
    <col min="12" max="12" customWidth="1" width="20.0" style="1"/>
    <col min="13" max="13" customWidth="1" width="6.140625" style="1"/>
    <col min="14" max="14" customWidth="1" width="5.5703125" style="1"/>
    <col min="15" max="15" customWidth="1" width="20.0" style="1"/>
    <col min="16" max="16" customWidth="1" width="6.140625" style="1"/>
    <col min="17" max="17" customWidth="1" width="5.5703125" style="1"/>
    <col min="18" max="18" customWidth="1" width="17.855469" style="1"/>
    <col min="19" max="19" customWidth="1" width="19.140625" style="1"/>
    <col min="20" max="20" customWidth="1" width="28.140625" style="1"/>
    <col min="21" max="26" customWidth="1" width="8.7109375" style="1"/>
  </cols>
  <sheetData>
    <row r="1" spans="8:8" ht="27.75" customHeight="1">
      <c r="A1" s="2" t="s">
        <v>0</v>
      </c>
    </row>
    <row r="2" spans="8:8" ht="18.0" customHeight="1">
      <c r="A2" s="3" t="s">
        <v>1</v>
      </c>
    </row>
    <row r="3" spans="8:8" ht="7.5" customHeight="1"/>
    <row r="4" spans="8:8" ht="7.5" customHeight="1"/>
    <row r="5" spans="8:8" ht="19.5" customHeight="1">
      <c r="A5" s="4" t="s">
        <v>2</v>
      </c>
    </row>
    <row r="6" spans="8:8" ht="15.75" customHeight="1">
      <c r="A6" s="5"/>
      <c r="B6" s="5"/>
      <c r="C6" s="5"/>
      <c r="D6" s="5"/>
      <c r="E6" s="5"/>
      <c r="F6" s="5"/>
      <c r="G6" s="6" t="s">
        <v>3</v>
      </c>
      <c r="H6" s="7"/>
      <c r="I6" s="8"/>
      <c r="J6" s="6" t="s">
        <v>4</v>
      </c>
      <c r="K6" s="7"/>
      <c r="L6" s="8"/>
      <c r="M6" s="6" t="s">
        <v>5</v>
      </c>
      <c r="N6" s="7"/>
      <c r="O6" s="8"/>
      <c r="P6" s="6" t="s">
        <v>6</v>
      </c>
      <c r="Q6" s="7"/>
      <c r="R6" s="8"/>
      <c r="S6" s="5"/>
      <c r="T6" s="5"/>
    </row>
    <row r="7" spans="8:8" ht="37.5" customHeight="1">
      <c r="A7" s="9" t="s">
        <v>7</v>
      </c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13</v>
      </c>
      <c r="K7" s="9" t="s">
        <v>14</v>
      </c>
      <c r="L7" s="9" t="s">
        <v>15</v>
      </c>
      <c r="M7" s="9" t="s">
        <v>13</v>
      </c>
      <c r="N7" s="9" t="s">
        <v>14</v>
      </c>
      <c r="O7" s="9" t="s">
        <v>15</v>
      </c>
      <c r="P7" s="9" t="s">
        <v>13</v>
      </c>
      <c r="Q7" s="9" t="s">
        <v>14</v>
      </c>
      <c r="R7" s="9" t="s">
        <v>15</v>
      </c>
      <c r="S7" s="9" t="s">
        <v>16</v>
      </c>
      <c r="T7" s="9" t="s">
        <v>17</v>
      </c>
    </row>
    <row r="8" spans="8:8" ht="36.0" customHeight="1">
      <c r="A8" s="10">
        <v>1.0</v>
      </c>
      <c r="B8" s="11" t="s">
        <v>18</v>
      </c>
      <c r="C8" s="12">
        <v>4.0</v>
      </c>
      <c r="D8" s="12" t="s">
        <v>19</v>
      </c>
      <c r="E8" s="13">
        <v>62.5</v>
      </c>
      <c r="F8" s="14" t="s">
        <v>20</v>
      </c>
      <c r="G8" s="12">
        <v>62.5</v>
      </c>
      <c r="H8" s="12">
        <v>8.0</v>
      </c>
      <c r="I8" s="15" t="s">
        <v>21</v>
      </c>
      <c r="J8" s="12">
        <v>67.5</v>
      </c>
      <c r="K8" s="12">
        <v>8.0</v>
      </c>
      <c r="L8" s="16" t="s">
        <v>22</v>
      </c>
      <c r="M8" s="12">
        <v>72.5</v>
      </c>
      <c r="N8" s="12">
        <v>8.0</v>
      </c>
      <c r="O8" s="17" t="s">
        <v>23</v>
      </c>
      <c r="P8" s="12">
        <v>77.5</v>
      </c>
      <c r="Q8" s="12">
        <v>8.0</v>
      </c>
      <c r="R8" s="18" t="s">
        <v>24</v>
      </c>
      <c r="S8" s="12" t="str">
        <f>IF(Q8="","–",IF(ISNUMBER(Q8),IF(Q8&gt;8,"✓ TAK – dodaj 2,5 kg","✗ NIE – zostań z ciężarem"),"–"))</f>
        <v>✗ NIE – zostań z ciężarem</v>
      </c>
      <c r="T8" s="19" t="s">
        <v>25</v>
      </c>
    </row>
    <row r="9" spans="8:8" ht="36.0" customHeight="1">
      <c r="A9" s="20">
        <v>2.0</v>
      </c>
      <c r="B9" s="21" t="s">
        <v>26</v>
      </c>
      <c r="C9" s="22">
        <v>3.0</v>
      </c>
      <c r="D9" s="22">
        <v>8.0</v>
      </c>
      <c r="E9" s="23" t="s">
        <v>27</v>
      </c>
      <c r="F9" s="14" t="s">
        <v>20</v>
      </c>
      <c r="G9" s="22" t="s">
        <v>27</v>
      </c>
      <c r="H9" s="22">
        <v>8.0</v>
      </c>
      <c r="I9" s="16">
        <v>8.0</v>
      </c>
      <c r="J9" s="22" t="s">
        <v>27</v>
      </c>
      <c r="K9" s="22">
        <v>8.0</v>
      </c>
      <c r="L9" s="17">
        <v>8.0</v>
      </c>
      <c r="M9" s="24" t="s">
        <v>73</v>
      </c>
      <c r="N9" s="22">
        <v>8.0</v>
      </c>
      <c r="O9" s="18">
        <v>8.0</v>
      </c>
      <c r="P9" s="25"/>
      <c r="Q9" s="25"/>
      <c r="R9" s="25"/>
      <c r="S9" s="22" t="str">
        <f>IF(N9="","–",IF(ISNUMBER(N9),IF(N9&gt;10,"✓ TAK – dodaj 2,5 kg","✗ NIE – zostań z ciężarem"),"–"))</f>
        <v>✗ NIE – zostań z ciężarem</v>
      </c>
      <c r="T9" s="26" t="s">
        <v>28</v>
      </c>
    </row>
    <row r="10" spans="8:8" ht="36.0" customHeight="1">
      <c r="A10" s="10">
        <v>3.0</v>
      </c>
      <c r="B10" s="11" t="s">
        <v>29</v>
      </c>
      <c r="C10" s="12">
        <v>4.0</v>
      </c>
      <c r="D10" s="27" t="s">
        <v>30</v>
      </c>
      <c r="E10" s="13">
        <v>35.0</v>
      </c>
      <c r="F10" s="14" t="s">
        <v>20</v>
      </c>
      <c r="G10" s="12">
        <v>35.0</v>
      </c>
      <c r="H10" s="12">
        <v>8.0</v>
      </c>
      <c r="I10" s="15" t="s">
        <v>31</v>
      </c>
      <c r="J10" s="12">
        <v>40.0</v>
      </c>
      <c r="K10" s="12">
        <v>8.0</v>
      </c>
      <c r="L10" s="16" t="s">
        <v>32</v>
      </c>
      <c r="M10" s="12">
        <v>42.0</v>
      </c>
      <c r="N10" s="12">
        <v>8.0</v>
      </c>
      <c r="O10" s="17" t="s">
        <v>33</v>
      </c>
      <c r="P10" s="12">
        <v>45.0</v>
      </c>
      <c r="Q10" s="12">
        <v>7.0</v>
      </c>
      <c r="R10" s="18" t="s">
        <v>34</v>
      </c>
      <c r="S10" s="12" t="str">
        <f>IF(Q10="","–",IF(ISNUMBER(Q10),IF(Q10&gt;10,"✓ TAK – dodaj 2,5 kg","✗ NIE – zostań z ciężarem"),"–"))</f>
        <v>✗ NIE – zostań z ciężarem</v>
      </c>
      <c r="T10" s="28"/>
    </row>
    <row r="11" spans="8:8" ht="36.0" customHeight="1">
      <c r="A11" s="20">
        <v>4.0</v>
      </c>
      <c r="B11" s="21" t="s">
        <v>35</v>
      </c>
      <c r="C11" s="22">
        <v>3.0</v>
      </c>
      <c r="D11" s="22" t="s">
        <v>36</v>
      </c>
      <c r="E11" s="23">
        <v>7.5</v>
      </c>
      <c r="F11" s="14" t="s">
        <v>20</v>
      </c>
      <c r="G11" s="22">
        <v>7.5</v>
      </c>
      <c r="H11" s="22">
        <v>13.0</v>
      </c>
      <c r="I11" s="16" t="s">
        <v>37</v>
      </c>
      <c r="J11" s="22">
        <v>7.5</v>
      </c>
      <c r="K11" s="22">
        <v>13.0</v>
      </c>
      <c r="L11" s="17" t="s">
        <v>38</v>
      </c>
      <c r="M11" s="22" t="s">
        <v>39</v>
      </c>
      <c r="N11" s="22">
        <v>13.0</v>
      </c>
      <c r="O11" s="18" t="s">
        <v>40</v>
      </c>
      <c r="P11" s="25"/>
      <c r="Q11" s="25"/>
      <c r="R11" s="25"/>
      <c r="S11" s="22" t="str">
        <f>IF(N11="","–",IF(ISNUMBER(N11),IF(N11&gt;15,"✓ TAK – dodaj 2,5 kg","✗ NIE – zostań z ciężarem"),"–"))</f>
        <v>✗ NIE – zostań z ciężarem</v>
      </c>
      <c r="T11" s="26" t="s">
        <v>41</v>
      </c>
    </row>
    <row r="12" spans="8:8" ht="36.0" customHeight="1">
      <c r="A12" s="10">
        <v>5.0</v>
      </c>
      <c r="B12" s="11" t="s">
        <v>42</v>
      </c>
      <c r="C12" s="12">
        <v>4.0</v>
      </c>
      <c r="D12" s="12" t="s">
        <v>43</v>
      </c>
      <c r="E12" s="13" t="s">
        <v>44</v>
      </c>
      <c r="F12" s="14" t="s">
        <v>20</v>
      </c>
      <c r="G12" s="12">
        <v>-9.4</v>
      </c>
      <c r="H12" s="12">
        <v>12.0</v>
      </c>
      <c r="I12" s="15" t="s">
        <v>45</v>
      </c>
      <c r="J12" s="12">
        <v>-9.4</v>
      </c>
      <c r="K12" s="12">
        <v>12.0</v>
      </c>
      <c r="L12" s="16" t="s">
        <v>46</v>
      </c>
      <c r="M12" s="12">
        <v>-6.25</v>
      </c>
      <c r="N12" s="12">
        <v>10.0</v>
      </c>
      <c r="O12" s="17" t="s">
        <v>47</v>
      </c>
      <c r="P12" s="12" t="s">
        <v>48</v>
      </c>
      <c r="Q12" s="12">
        <v>8.0</v>
      </c>
      <c r="R12" s="18" t="s">
        <v>40</v>
      </c>
      <c r="S12" s="12" t="str">
        <f>IF(Q12="","–",IF(ISNUMBER(Q12),IF(Q12&gt;12,"✓ TAK – dodaj 2,5 kg","✗ NIE – zostań z ciężarem"),"–"))</f>
        <v>✗ NIE – zostań z ciężarem</v>
      </c>
      <c r="T12" s="19" t="s">
        <v>49</v>
      </c>
      <c r="X12" s="29">
        <v>34.0</v>
      </c>
    </row>
    <row r="13" spans="8:8" ht="15.75" customHeight="1">
      <c r="A13" s="30" t="s">
        <v>50</v>
      </c>
    </row>
    <row r="15" spans="8:8" ht="21.75" customHeight="1">
      <c r="A15" s="31" t="s">
        <v>51</v>
      </c>
    </row>
    <row r="16" spans="8:8" ht="27.75" customHeight="1">
      <c r="A16" s="32" t="s">
        <v>52</v>
      </c>
      <c r="B16" s="32" t="s">
        <v>53</v>
      </c>
      <c r="C16" s="7"/>
      <c r="D16" s="7"/>
      <c r="E16" s="8"/>
      <c r="F16" s="32" t="s">
        <v>54</v>
      </c>
      <c r="G16" s="32" t="s">
        <v>55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  <c r="T16" s="33"/>
    </row>
    <row r="17" spans="8:8" ht="24.0" customHeight="1">
      <c r="A17" s="34" t="s">
        <v>56</v>
      </c>
      <c r="B17" s="35" t="s">
        <v>57</v>
      </c>
      <c r="C17" s="7"/>
      <c r="D17" s="7"/>
      <c r="E17" s="8"/>
      <c r="F17" s="36" t="s">
        <v>58</v>
      </c>
      <c r="G17" s="37" t="s">
        <v>59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/>
      <c r="T17" s="38"/>
    </row>
    <row r="18" spans="8:8" ht="24.0" customHeight="1">
      <c r="A18" s="39" t="s">
        <v>56</v>
      </c>
      <c r="B18" s="40" t="s">
        <v>60</v>
      </c>
      <c r="C18" s="7"/>
      <c r="D18" s="7"/>
      <c r="E18" s="8"/>
      <c r="F18" s="41" t="s">
        <v>61</v>
      </c>
      <c r="G18" s="42" t="s">
        <v>62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/>
      <c r="T18" s="43"/>
    </row>
    <row r="19" spans="8:8" ht="24.0" customHeight="1">
      <c r="A19" s="34" t="s">
        <v>63</v>
      </c>
      <c r="B19" s="35" t="s">
        <v>64</v>
      </c>
      <c r="C19" s="7"/>
      <c r="D19" s="7"/>
      <c r="E19" s="8"/>
      <c r="F19" s="36" t="s">
        <v>65</v>
      </c>
      <c r="G19" s="37" t="s">
        <v>66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/>
      <c r="T19" s="38"/>
    </row>
    <row r="20" spans="8:8" ht="24.0" customHeight="1">
      <c r="A20" s="39" t="s">
        <v>63</v>
      </c>
      <c r="B20" s="40" t="s">
        <v>67</v>
      </c>
      <c r="C20" s="7"/>
      <c r="D20" s="7"/>
      <c r="E20" s="8"/>
      <c r="F20" s="41" t="s">
        <v>65</v>
      </c>
      <c r="G20" s="42" t="s">
        <v>68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  <c r="T20" s="43"/>
    </row>
    <row r="21" spans="8:8" ht="24.0" customHeight="1">
      <c r="A21" s="34" t="s">
        <v>69</v>
      </c>
      <c r="B21" s="35" t="s">
        <v>70</v>
      </c>
      <c r="C21" s="7"/>
      <c r="D21" s="7"/>
      <c r="E21" s="8"/>
      <c r="F21" s="36" t="s">
        <v>65</v>
      </c>
      <c r="G21" s="37" t="s">
        <v>71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8"/>
      <c r="T21" s="38"/>
    </row>
    <row r="22" spans="8:8" ht="18.0" customHeight="1">
      <c r="A22" s="44" t="s">
        <v>72</v>
      </c>
    </row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22">
    <mergeCell ref="J6:L6"/>
    <mergeCell ref="G20:S20"/>
    <mergeCell ref="B21:E21"/>
    <mergeCell ref="G19:S19"/>
    <mergeCell ref="G16:S16"/>
    <mergeCell ref="B17:E17"/>
    <mergeCell ref="A22:T22"/>
    <mergeCell ref="A1:T1"/>
    <mergeCell ref="A2:T2"/>
    <mergeCell ref="P6:R6"/>
    <mergeCell ref="A13:T13"/>
    <mergeCell ref="M6:O6"/>
    <mergeCell ref="A5:T5"/>
    <mergeCell ref="B16:E16"/>
    <mergeCell ref="G21:S21"/>
    <mergeCell ref="G6:I6"/>
    <mergeCell ref="B18:E18"/>
    <mergeCell ref="G17:S17"/>
    <mergeCell ref="A15:T15"/>
    <mergeCell ref="B20:E20"/>
    <mergeCell ref="B19:E19"/>
    <mergeCell ref="G18:S18"/>
  </mergeCells>
  <pageMargins left="0.75" right="0.75" top="1.0" bottom="1.0" header="0.0" footer="0.0"/>
  <pageSetup paperSize="9" fitToWidth="0" fitToHeight="0" orientation="landscape"/>
  <headerFooter>
    <oddFooter>&amp;C_x000d_#000000 DSV internal</oddFooter>
  </headerFooter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Krzysztof Zaraza - DSV</cp:lastModifiedBy>
  <dcterms:created xsi:type="dcterms:W3CDTF">2026-06-02T02:58:15Z</dcterms:created>
  <dcterms:modified xsi:type="dcterms:W3CDTF">2026-07-07T16:30:24Z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true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a702067b8ba142e0b4d8512232253d48</vt:lpwstr>
  </property>
  <property fmtid="{D5CDD505-2E9C-101B-9397-08002B2CF9AE}" pid="11" name="MSIP_Label_fc6c1fee-2f04-49ca-98cf-bcf61896c7fa_Name">
    <vt:lpwstr>Internal</vt:lpwstr>
  </property>
</Properties>
</file>