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RackIT\Wyniki\"/>
    </mc:Choice>
  </mc:AlternateContent>
  <xr:revisionPtr revIDLastSave="0" documentId="13_ncr:1_{53E5BC73-151D-48A3-9743-55422E14A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GI – Uda · Poslad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2" i="1"/>
  <c r="P11" i="1"/>
  <c r="P10" i="1"/>
  <c r="P9" i="1"/>
  <c r="P8" i="1"/>
</calcChain>
</file>

<file path=xl/sharedStrings.xml><?xml version="1.0" encoding="utf-8"?>
<sst xmlns="http://schemas.openxmlformats.org/spreadsheetml/2006/main" count="95" uniqueCount="72">
  <si>
    <t>NOGI – Uda · Posladki · Stabilnosc</t>
  </si>
  <si>
    <t>Progresja: gdy ostatnia seria przekracza gorny pulap zakresu -&gt; nastepny trening dodaj 2,5 kg (izolacja: +1 kg)</t>
  </si>
  <si>
    <t>TRENING WLASCIWY</t>
  </si>
  <si>
    <t>SERIA 1</t>
  </si>
  <si>
    <t>SERIA 2</t>
  </si>
  <si>
    <t>SERIA 3</t>
  </si>
  <si>
    <t>#</t>
  </si>
  <si>
    <t>Cwiczenie</t>
  </si>
  <si>
    <t>Serie
w planie</t>
  </si>
  <si>
    <t>Zakres
powt.</t>
  </si>
  <si>
    <t>Ciezar startowy</t>
  </si>
  <si>
    <t>Ostatnia seria
do upadku?</t>
  </si>
  <si>
    <t>Ciezar
(kg)</t>
  </si>
  <si>
    <t>Powt.</t>
  </si>
  <si>
    <t>RIR cel
+ wskazowka</t>
  </si>
  <si>
    <t>Dodac ciezar
nastepny trening?</t>
  </si>
  <si>
    <t>Wskazowki techniczne</t>
  </si>
  <si>
    <t>Przysiad ze sztanga [PIRAMIDA]</t>
  </si>
  <si>
    <t>5-8</t>
  </si>
  <si>
    <t>NIE – bezpieczenstwo kregoslupa</t>
  </si>
  <si>
    <t>RIR 3  –  5-6 powt., 3 w zapasie</t>
  </si>
  <si>
    <t>RIR 2  –  6-7 powt., 2 w zapasie</t>
  </si>
  <si>
    <t>RIR 1-2  –  7-8 powt., NIE do upadku!</t>
  </si>
  <si>
    <t>stopy szerzej niz biodra, kolana nad stopami, pelny zakres ruchu</t>
  </si>
  <si>
    <t>Bulgarian Split Squat [STALY]</t>
  </si>
  <si>
    <t>BW</t>
  </si>
  <si>
    <t>TAK – ostatnia seria do upadku</t>
  </si>
  <si>
    <t>RIR 2  –  8 powt., 2 w zapasie</t>
  </si>
  <si>
    <t>RIR 1  –  9-10 powt., 1 w zapasie</t>
  </si>
  <si>
    <t>RIR 0  –  DO UPADKU min 10</t>
  </si>
  <si>
    <t>tylna noga na lawce, biodra w dol, kolano nad stopa przodniej nogi</t>
  </si>
  <si>
    <t>Hip Thrust ze sztanga [PIRAMIDA]</t>
  </si>
  <si>
    <t>10-12</t>
  </si>
  <si>
    <t>RIR 2  –  10 powt., 2 w zapasie</t>
  </si>
  <si>
    <t>RIR 1  –  11-12 powt., 1 w zapasie</t>
  </si>
  <si>
    <t>RIR 0  –  DO UPADKU min 12</t>
  </si>
  <si>
    <t>lopatki na lawce, pelne wypchnięcie bioder, scisniete posladki w gorze</t>
  </si>
  <si>
    <t>kontrolowane opuszczanie, pelny zakres – nie urywaj ruchu</t>
  </si>
  <si>
    <t>12-15</t>
  </si>
  <si>
    <t>RIR 2  –  12-13 powt., 2 w zapasie</t>
  </si>
  <si>
    <t>RIR 1  –  13-14 powt., 1 w zapasie</t>
  </si>
  <si>
    <t>RIR 0  –  DO UPADKU min 15</t>
  </si>
  <si>
    <t>lokiec lekko ugiety, kontrolowane opuszczanie, stabilne biodra</t>
  </si>
  <si>
    <t>Copenhagen Plank (przywodziciele)</t>
  </si>
  <si>
    <t>10-15 sek</t>
  </si>
  <si>
    <t>NIE – izometria do wyznaczonego czasu</t>
  </si>
  <si>
    <t>trzymaj pozycje 10-15 sekund</t>
  </si>
  <si>
    <t>gorna noga na lawce, dolna uniesiona – utrzymaj biodra w linii</t>
  </si>
  <si>
    <t>Kolory: zielony=RIR 3, niebieski=RIR 2, pomaranczowy=RIR 1, czerwony=RIR 0/upadek. Szare pola = seria nie w planie.</t>
  </si>
  <si>
    <t>ROZGRZEWKA – NOGI</t>
  </si>
  <si>
    <t>Faza</t>
  </si>
  <si>
    <t>Cwiczenie / aktywnosc</t>
  </si>
  <si>
    <t>Czas</t>
  </si>
  <si>
    <t>Wskazowka</t>
  </si>
  <si>
    <t>Ogolna</t>
  </si>
  <si>
    <t>Rower / orbitrek</t>
  </si>
  <si>
    <t>5 min</t>
  </si>
  <si>
    <t>umiarkowane tempo – podniesienie tetna i temperatury miesni</t>
  </si>
  <si>
    <t>Mobilnosc biodra</t>
  </si>
  <si>
    <t>Hip CARs – powolne krazenia (5 powt./strone)</t>
  </si>
  <si>
    <t>pelny zakres ruchu, kontrolowane – kluczowe dla squasha</t>
  </si>
  <si>
    <t>Przed przysiadem</t>
  </si>
  <si>
    <t>Goblet Squat z hantlem (lekkim) x 10 powt.</t>
  </si>
  <si>
    <t>-</t>
  </si>
  <si>
    <t>skupiasz sie na glebokosci i torze kolan</t>
  </si>
  <si>
    <t>Gryf (20 kg) x 5 powt. – wolno</t>
  </si>
  <si>
    <t>czujesz ruch, sprawdzasz zakres</t>
  </si>
  <si>
    <t>UWAGA</t>
  </si>
  <si>
    <t>NIE rozciagaj statycznie przed treningiem – oslabienie sily!</t>
  </si>
  <si>
    <t>8-10</t>
  </si>
  <si>
    <t>Odwodzenie na wyciagu jednonóż [STALY]</t>
  </si>
  <si>
    <t>Leg Curl – uginanie nog - 1 noga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</si>
</sst>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1"/>
      <name val="Calibri"/>
    </font>
    <font>
      <i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4" borderId="0" xfId="0" applyFont="1" applyFill="1"/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4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C1" workbookViewId="0">
      <selection activeCell="N11" sqref="N11"/>
    </sheetView>
  </sheetViews>
  <sheetFormatPr defaultRowHeight="15" x14ac:dyDescent="0.25"/>
  <cols>
    <col min="1" max="1" width="16.7109375" bestFit="1" customWidth="1"/>
    <col min="2" max="2" width="47.140625" customWidth="1"/>
    <col min="3" max="3" width="7" style="4" bestFit="1" customWidth="1"/>
    <col min="4" max="4" width="9.140625" style="4" bestFit="1" customWidth="1"/>
    <col min="5" max="5" width="12" bestFit="1" customWidth="1"/>
    <col min="6" max="6" width="36.28515625" bestFit="1" customWidth="1"/>
    <col min="7" max="7" width="10" style="4" customWidth="1"/>
    <col min="8" max="8" width="7" style="4" customWidth="1"/>
    <col min="9" max="9" width="28" customWidth="1"/>
    <col min="10" max="10" width="10" style="4" customWidth="1"/>
    <col min="11" max="11" width="7" style="4" customWidth="1"/>
    <col min="12" max="12" width="28" customWidth="1"/>
    <col min="13" max="13" width="10" style="4" customWidth="1"/>
    <col min="14" max="14" width="7" style="4" customWidth="1"/>
    <col min="15" max="15" width="28" customWidth="1"/>
    <col min="16" max="16" width="24" customWidth="1"/>
    <col min="17" max="17" width="34" customWidth="1"/>
  </cols>
  <sheetData>
    <row r="1" spans="1:17" ht="17.25" x14ac:dyDescent="0.3">
      <c r="A1" s="23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5" spans="1:17" x14ac:dyDescent="0.25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x14ac:dyDescent="0.25">
      <c r="G6" s="21" t="s">
        <v>3</v>
      </c>
      <c r="H6" s="20"/>
      <c r="I6" s="20"/>
      <c r="J6" s="21" t="s">
        <v>4</v>
      </c>
      <c r="K6" s="20"/>
      <c r="L6" s="20"/>
      <c r="M6" s="21" t="s">
        <v>5</v>
      </c>
      <c r="N6" s="20"/>
      <c r="O6" s="20"/>
    </row>
    <row r="7" spans="1:17" ht="42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12</v>
      </c>
      <c r="K7" s="1" t="s">
        <v>13</v>
      </c>
      <c r="L7" s="1" t="s">
        <v>14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</row>
    <row r="8" spans="1:17" ht="32.1" customHeight="1" x14ac:dyDescent="0.25">
      <c r="A8" s="6">
        <v>1</v>
      </c>
      <c r="B8" s="7" t="s">
        <v>17</v>
      </c>
      <c r="C8" s="8">
        <v>3</v>
      </c>
      <c r="D8" s="8" t="s">
        <v>18</v>
      </c>
      <c r="E8" s="6">
        <v>60</v>
      </c>
      <c r="F8" s="6" t="s">
        <v>19</v>
      </c>
      <c r="G8" s="15">
        <v>60</v>
      </c>
      <c r="H8" s="15">
        <v>8</v>
      </c>
      <c r="I8" s="9" t="s">
        <v>20</v>
      </c>
      <c r="J8" s="16">
        <v>70</v>
      </c>
      <c r="K8" s="16">
        <v>8</v>
      </c>
      <c r="L8" s="10" t="s">
        <v>21</v>
      </c>
      <c r="M8" s="17">
        <v>80</v>
      </c>
      <c r="N8" s="17">
        <v>8</v>
      </c>
      <c r="O8" s="11" t="s">
        <v>22</v>
      </c>
      <c r="P8" t="str">
        <f>IF(N8="","-",IF(ISNUMBER(N8),IF(N8&gt;8,"TAK – dodaj 2,5 kg","NIE – zostan z ciezarem"),"-"))</f>
        <v>NIE – zostan z ciezarem</v>
      </c>
      <c r="Q8" s="2" t="s">
        <v>23</v>
      </c>
    </row>
    <row r="9" spans="1:17" ht="32.1" customHeight="1" x14ac:dyDescent="0.25">
      <c r="A9" s="6">
        <v>2</v>
      </c>
      <c r="B9" s="7" t="s">
        <v>24</v>
      </c>
      <c r="C9" s="8">
        <v>3</v>
      </c>
      <c r="D9" s="13" t="s">
        <v>69</v>
      </c>
      <c r="E9" s="6" t="s">
        <v>25</v>
      </c>
      <c r="F9" s="6" t="s">
        <v>26</v>
      </c>
      <c r="G9" s="15" t="s">
        <v>25</v>
      </c>
      <c r="H9" s="15">
        <v>10</v>
      </c>
      <c r="I9" s="9" t="s">
        <v>27</v>
      </c>
      <c r="J9" s="16" t="s">
        <v>25</v>
      </c>
      <c r="K9" s="16">
        <v>10</v>
      </c>
      <c r="L9" s="10" t="s">
        <v>28</v>
      </c>
      <c r="M9" s="17" t="s">
        <v>25</v>
      </c>
      <c r="N9" s="17">
        <v>11</v>
      </c>
      <c r="O9" s="11" t="s">
        <v>29</v>
      </c>
      <c r="P9" t="str">
        <f>IF(N9="","-",IF(ISNUMBER(N9),IF(N9&gt;10,"TAK – dodaj ciezar (hantle)","NIE – zostan z ciezarem"),"-"))</f>
        <v>TAK – dodaj ciezar (hantle)</v>
      </c>
      <c r="Q9" s="2" t="s">
        <v>30</v>
      </c>
    </row>
    <row r="10" spans="1:17" ht="32.1" customHeight="1" x14ac:dyDescent="0.25">
      <c r="A10" s="6">
        <v>3</v>
      </c>
      <c r="B10" s="7" t="s">
        <v>31</v>
      </c>
      <c r="C10" s="8">
        <v>3</v>
      </c>
      <c r="D10" s="8" t="s">
        <v>32</v>
      </c>
      <c r="E10" s="6">
        <v>40</v>
      </c>
      <c r="F10" s="6" t="s">
        <v>26</v>
      </c>
      <c r="G10" s="15">
        <v>40</v>
      </c>
      <c r="H10" s="15">
        <v>12</v>
      </c>
      <c r="I10" s="9" t="s">
        <v>33</v>
      </c>
      <c r="J10" s="16">
        <v>50</v>
      </c>
      <c r="K10" s="16">
        <v>12</v>
      </c>
      <c r="L10" s="10" t="s">
        <v>34</v>
      </c>
      <c r="M10" s="17">
        <v>60</v>
      </c>
      <c r="N10" s="17">
        <v>13</v>
      </c>
      <c r="O10" s="11" t="s">
        <v>35</v>
      </c>
      <c r="P10" t="str">
        <f>IF(N10="","-",IF(ISNUMBER(N10),IF(N10&gt;12,"TAK – dodaj 2,5 kg","NIE – zostan z ciezarem"),"-"))</f>
        <v>TAK – dodaj 2,5 kg</v>
      </c>
      <c r="Q10" s="2" t="s">
        <v>36</v>
      </c>
    </row>
    <row r="11" spans="1:17" ht="32.1" customHeight="1" x14ac:dyDescent="0.25">
      <c r="A11" s="6">
        <v>4</v>
      </c>
      <c r="B11" s="14" t="s">
        <v>71</v>
      </c>
      <c r="C11" s="8">
        <v>3</v>
      </c>
      <c r="D11" s="8" t="s">
        <v>32</v>
      </c>
      <c r="E11" s="6">
        <v>25</v>
      </c>
      <c r="F11" s="6" t="s">
        <v>26</v>
      </c>
      <c r="G11" s="15">
        <v>25</v>
      </c>
      <c r="H11" s="15">
        <v>10</v>
      </c>
      <c r="I11" s="9" t="s">
        <v>33</v>
      </c>
      <c r="J11" s="16">
        <v>25</v>
      </c>
      <c r="K11" s="16">
        <v>10</v>
      </c>
      <c r="L11" s="10" t="s">
        <v>34</v>
      </c>
      <c r="M11" s="17">
        <v>25</v>
      </c>
      <c r="N11" s="17">
        <v>12</v>
      </c>
      <c r="O11" s="11" t="s">
        <v>35</v>
      </c>
      <c r="P11" t="str">
        <f>IF(N11="","-",IF(ISNUMBER(N11),IF(N11&gt;12,"TAK – dodaj 1 kg","NIE – zostan z ciezarem"),"-"))</f>
        <v>NIE – zostan z ciezarem</v>
      </c>
      <c r="Q11" s="2" t="s">
        <v>37</v>
      </c>
    </row>
    <row r="12" spans="1:17" ht="32.1" customHeight="1" x14ac:dyDescent="0.25">
      <c r="A12" s="6">
        <v>5</v>
      </c>
      <c r="B12" s="14" t="s">
        <v>70</v>
      </c>
      <c r="C12" s="8">
        <v>3</v>
      </c>
      <c r="D12" s="8" t="s">
        <v>38</v>
      </c>
      <c r="E12" s="6">
        <v>3.75</v>
      </c>
      <c r="F12" s="6" t="s">
        <v>26</v>
      </c>
      <c r="G12" s="15">
        <v>3.75</v>
      </c>
      <c r="H12" s="15">
        <v>15</v>
      </c>
      <c r="I12" s="9" t="s">
        <v>39</v>
      </c>
      <c r="J12" s="16">
        <v>3.75</v>
      </c>
      <c r="K12" s="16">
        <v>15</v>
      </c>
      <c r="L12" s="10" t="s">
        <v>40</v>
      </c>
      <c r="M12" s="17">
        <v>6.25</v>
      </c>
      <c r="N12" s="17">
        <v>16</v>
      </c>
      <c r="O12" s="11" t="s">
        <v>41</v>
      </c>
      <c r="P12" t="str">
        <f>IF(N12="","-",IF(ISNUMBER(N12),IF(N12&gt;15,"TAK – dodaj 1 kg","NIE – zostan z ciezarem"),"-"))</f>
        <v>TAK – dodaj 1 kg</v>
      </c>
      <c r="Q12" s="2" t="s">
        <v>42</v>
      </c>
    </row>
    <row r="13" spans="1:17" ht="32.1" customHeight="1" x14ac:dyDescent="0.25">
      <c r="A13" s="6">
        <v>6</v>
      </c>
      <c r="B13" s="7" t="s">
        <v>43</v>
      </c>
      <c r="C13" s="8">
        <v>2</v>
      </c>
      <c r="D13" s="8" t="s">
        <v>44</v>
      </c>
      <c r="E13" s="6" t="s">
        <v>25</v>
      </c>
      <c r="F13" s="6" t="s">
        <v>45</v>
      </c>
      <c r="G13" s="15" t="s">
        <v>25</v>
      </c>
      <c r="H13" s="15">
        <v>15</v>
      </c>
      <c r="I13" s="9" t="s">
        <v>46</v>
      </c>
      <c r="J13" s="16" t="s">
        <v>25</v>
      </c>
      <c r="K13" s="16">
        <v>20</v>
      </c>
      <c r="L13" s="10" t="s">
        <v>46</v>
      </c>
      <c r="M13" s="18"/>
      <c r="N13" s="18"/>
      <c r="O13" s="12"/>
      <c r="P13" t="str">
        <f>IF(K13="","-",IF(ISNUMBER(K13),IF(K13&gt;15,"TAK – zwieksz czas","NIE – zostan z czasem"),"-"))</f>
        <v>TAK – zwieksz czas</v>
      </c>
      <c r="Q13" s="2" t="s">
        <v>47</v>
      </c>
    </row>
    <row r="14" spans="1:17" x14ac:dyDescent="0.25">
      <c r="A14" s="22" t="s">
        <v>48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6" spans="1:17" x14ac:dyDescent="0.25">
      <c r="A16" s="19" t="s">
        <v>49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7" x14ac:dyDescent="0.25">
      <c r="A17" s="3" t="s">
        <v>50</v>
      </c>
      <c r="B17" s="3" t="s">
        <v>51</v>
      </c>
      <c r="C17" s="5"/>
      <c r="D17" s="5"/>
      <c r="E17" s="3"/>
      <c r="F17" s="3" t="s">
        <v>52</v>
      </c>
      <c r="G17" s="5" t="s">
        <v>53</v>
      </c>
    </row>
    <row r="18" spans="1:7" ht="20.100000000000001" customHeight="1" x14ac:dyDescent="0.25">
      <c r="A18" t="s">
        <v>54</v>
      </c>
      <c r="B18" t="s">
        <v>55</v>
      </c>
      <c r="F18" t="s">
        <v>56</v>
      </c>
      <c r="G18" s="4" t="s">
        <v>57</v>
      </c>
    </row>
    <row r="19" spans="1:7" ht="20.100000000000001" customHeight="1" x14ac:dyDescent="0.25">
      <c r="A19" t="s">
        <v>58</v>
      </c>
      <c r="B19" t="s">
        <v>59</v>
      </c>
      <c r="F19" t="s">
        <v>56</v>
      </c>
      <c r="G19" s="4" t="s">
        <v>60</v>
      </c>
    </row>
    <row r="20" spans="1:7" ht="20.100000000000001" customHeight="1" x14ac:dyDescent="0.25">
      <c r="A20" t="s">
        <v>61</v>
      </c>
      <c r="B20" t="s">
        <v>62</v>
      </c>
      <c r="F20" t="s">
        <v>63</v>
      </c>
      <c r="G20" s="4" t="s">
        <v>64</v>
      </c>
    </row>
    <row r="21" spans="1:7" ht="20.100000000000001" customHeight="1" x14ac:dyDescent="0.25">
      <c r="A21" t="s">
        <v>61</v>
      </c>
      <c r="B21" t="s">
        <v>65</v>
      </c>
      <c r="F21" t="s">
        <v>63</v>
      </c>
      <c r="G21" s="4" t="s">
        <v>66</v>
      </c>
    </row>
    <row r="22" spans="1:7" ht="20.100000000000001" customHeight="1" x14ac:dyDescent="0.25">
      <c r="A22" t="s">
        <v>67</v>
      </c>
      <c r="B22" t="s">
        <v>68</v>
      </c>
    </row>
  </sheetData>
  <mergeCells count="8">
    <mergeCell ref="A16:Q16"/>
    <mergeCell ref="M6:O6"/>
    <mergeCell ref="A14:Q14"/>
    <mergeCell ref="A1:Q1"/>
    <mergeCell ref="A5:Q5"/>
    <mergeCell ref="J6:L6"/>
    <mergeCell ref="G6:I6"/>
    <mergeCell ref="A2:Q2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NOGI – Uda · Posladki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2026-06-17T14:37:10Z</dcterms:created>
  <dcterms:modified xsi:type="dcterms:W3CDTF">2026-06-18T17:51:09Z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2026-06-18T08:37:21Z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837c6462-2b0d-417b-9816-96296d0440d5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